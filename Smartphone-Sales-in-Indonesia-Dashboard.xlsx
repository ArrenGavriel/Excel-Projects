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hidePivotFieldList="1"/>
  <mc:AlternateContent xmlns:mc="http://schemas.openxmlformats.org/markup-compatibility/2006">
    <mc:Choice Requires="x15">
      <x15ac:absPath xmlns:x15ac="http://schemas.microsoft.com/office/spreadsheetml/2010/11/ac" url="J:\Computer_Science\Excel\Excel-Projects\"/>
    </mc:Choice>
  </mc:AlternateContent>
  <xr:revisionPtr revIDLastSave="0" documentId="13_ncr:1_{1839B14A-FFB1-4360-A124-F61D3982DDC4}" xr6:coauthVersionLast="47" xr6:coauthVersionMax="47" xr10:uidLastSave="{00000000-0000-0000-0000-000000000000}"/>
  <workbookProtection workbookAlgorithmName="SHA-512" workbookHashValue="S4jmXxWhHpyILZVbYtwdqR85BPVFbvWZaWwB3qXXy68nXm47hfKqHJ8UHHnn8TZ1HfpKQdNiFBspU+5lKu4qTA==" workbookSaltValue="LhVCwBZ4RyKp1h0LJR6BKA==" workbookSpinCount="100000" lockStructure="1"/>
  <bookViews>
    <workbookView xWindow="-120" yWindow="-120" windowWidth="20730" windowHeight="11160" firstSheet="5" activeTab="8" xr2:uid="{00000000-000D-0000-FFFF-FFFF00000000}"/>
  </bookViews>
  <sheets>
    <sheet name="Raw-Data" sheetId="1" r:id="rId1"/>
    <sheet name="Transposed-Data" sheetId="3" r:id="rId2"/>
    <sheet name="Shipments" sheetId="13" r:id="rId3"/>
    <sheet name="Shipments-YoY-Change" sheetId="16" r:id="rId4"/>
    <sheet name="Shipments-YoY-Change-Pivot" sheetId="18" r:id="rId5"/>
    <sheet name="Market-Share" sheetId="11" r:id="rId6"/>
    <sheet name="Market-Share-Pivot" sheetId="15" r:id="rId7"/>
    <sheet name="Shipments-Pivot" sheetId="10" r:id="rId8"/>
    <sheet name="Dashboard" sheetId="9" r:id="rId9"/>
  </sheets>
  <definedNames>
    <definedName name="_xlcn.WorksheetConnection_MarketShareA1K81" hidden="1">'Market-Share'!$A$1:$K$8</definedName>
    <definedName name="_xlcn.WorksheetConnection_MarketShareM1T111" hidden="1">'Market-Share'!$M$1:$T$11</definedName>
    <definedName name="_xlcn.WorksheetConnection_Sheet3A26H321" hidden="1">'Shipments-YoY-Change-Pivot'!$A$1:$H$7</definedName>
    <definedName name="Slicer_Date">#N/A</definedName>
    <definedName name="Slicer_Date1">#N/A</definedName>
    <definedName name="Slicer_Vendors">#N/A</definedName>
  </definedNames>
  <calcPr calcId="181029"/>
  <pivotCaches>
    <pivotCache cacheId="0" r:id="rId10"/>
    <pivotCache cacheId="422" r:id="rId11"/>
    <pivotCache cacheId="423" r:id="rId12"/>
    <pivotCache cacheId="424" r:id="rId13"/>
  </pivotCaches>
  <extLst>
    <ext xmlns:x14="http://schemas.microsoft.com/office/spreadsheetml/2009/9/main" uri="{876F7934-8845-4945-9796-88D515C7AA90}">
      <x14:pivotCaches>
        <pivotCache cacheId="3"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Market-Share!$M$1:$T$11"/>
          <x15:modelTable id="Range" name="Range" connection="WorksheetConnection_Market-Share!$A$1:$K$8"/>
          <x15:modelTable id="Range 3" name="Range 3" connection="WorksheetConnection_Sheet3!$A$26:$H$32"/>
        </x15:modelTables>
      </x15:dataModel>
    </ext>
  </extLst>
</workbook>
</file>

<file path=xl/calcChain.xml><?xml version="1.0" encoding="utf-8"?>
<calcChain xmlns="http://schemas.openxmlformats.org/spreadsheetml/2006/main">
  <c r="G2" i="16" l="1"/>
  <c r="K6" i="16"/>
  <c r="G8" i="16"/>
  <c r="H8" i="16"/>
  <c r="I8" i="16"/>
  <c r="J8" i="16"/>
  <c r="K8" i="16"/>
  <c r="G7" i="16"/>
  <c r="H7" i="16"/>
  <c r="I7" i="16"/>
  <c r="J7" i="16"/>
  <c r="G5" i="16"/>
  <c r="H5" i="16"/>
  <c r="I5" i="16"/>
  <c r="J5" i="16"/>
  <c r="K5" i="16"/>
  <c r="G4" i="16"/>
  <c r="H4" i="16"/>
  <c r="I4" i="16"/>
  <c r="J4" i="16"/>
  <c r="K4" i="16"/>
  <c r="G3" i="16"/>
  <c r="H3" i="16"/>
  <c r="I3" i="16"/>
  <c r="J3" i="16"/>
  <c r="K3" i="16"/>
  <c r="F3" i="16"/>
  <c r="F4" i="16"/>
  <c r="F5" i="16"/>
  <c r="F7" i="16"/>
  <c r="F8" i="16"/>
  <c r="H2" i="16"/>
  <c r="I2" i="16"/>
  <c r="J2" i="16"/>
  <c r="K2" i="16"/>
  <c r="F2" i="16"/>
  <c r="D2" i="11"/>
  <c r="O2" i="11"/>
  <c r="P2" i="11"/>
  <c r="Q2" i="11"/>
  <c r="S2" i="11"/>
  <c r="T2" i="11"/>
  <c r="O3" i="11"/>
  <c r="P3" i="11"/>
  <c r="Q3" i="11"/>
  <c r="S3" i="11"/>
  <c r="T3" i="11"/>
  <c r="O4" i="11"/>
  <c r="P4" i="11"/>
  <c r="Q4" i="11"/>
  <c r="S4" i="11"/>
  <c r="T4" i="11"/>
  <c r="O5" i="11"/>
  <c r="P5" i="11"/>
  <c r="Q5" i="11"/>
  <c r="S5" i="11"/>
  <c r="T5" i="11"/>
  <c r="O6" i="11"/>
  <c r="P6" i="11"/>
  <c r="Q6" i="11"/>
  <c r="S6" i="11"/>
  <c r="T6" i="11"/>
  <c r="O7" i="11"/>
  <c r="P7" i="11"/>
  <c r="Q7" i="11"/>
  <c r="R7" i="11"/>
  <c r="S7" i="11"/>
  <c r="T7" i="11"/>
  <c r="O8" i="11"/>
  <c r="P8" i="11"/>
  <c r="Q8" i="11"/>
  <c r="S8" i="11"/>
  <c r="T8" i="11"/>
  <c r="O9" i="11"/>
  <c r="P9" i="11"/>
  <c r="Q9" i="11"/>
  <c r="S9" i="11"/>
  <c r="T9" i="11"/>
  <c r="O10" i="11"/>
  <c r="P10" i="11"/>
  <c r="Q10" i="11"/>
  <c r="S10" i="11"/>
  <c r="T10" i="11"/>
  <c r="O11" i="11"/>
  <c r="P11" i="11"/>
  <c r="Q11" i="11"/>
  <c r="R11" i="11"/>
  <c r="T11" i="11"/>
  <c r="N2" i="11"/>
  <c r="N3" i="11"/>
  <c r="N4" i="11"/>
  <c r="N5" i="11"/>
  <c r="N6" i="11"/>
  <c r="N7" i="11"/>
  <c r="N8" i="11"/>
  <c r="N9" i="11"/>
  <c r="N10" i="11"/>
  <c r="N11" i="11"/>
  <c r="B3" i="11"/>
  <c r="B4" i="11"/>
  <c r="B5" i="11"/>
  <c r="B7" i="11"/>
  <c r="B8" i="11"/>
  <c r="B2" i="11"/>
  <c r="J8" i="11"/>
  <c r="J7" i="11"/>
  <c r="J5" i="11"/>
  <c r="J4" i="11"/>
  <c r="J3" i="11"/>
  <c r="J2" i="11"/>
  <c r="K8" i="11"/>
  <c r="K6" i="11"/>
  <c r="K5" i="11"/>
  <c r="K4" i="11"/>
  <c r="K3" i="11"/>
  <c r="K2" i="11"/>
  <c r="C3" i="11"/>
  <c r="C4" i="11"/>
  <c r="C5" i="11"/>
  <c r="C7" i="11"/>
  <c r="C8" i="11"/>
  <c r="D3" i="11"/>
  <c r="D4" i="11"/>
  <c r="D5" i="11"/>
  <c r="D7" i="11"/>
  <c r="D8" i="11"/>
  <c r="E3" i="11"/>
  <c r="E4" i="11"/>
  <c r="E5" i="11"/>
  <c r="E7" i="11"/>
  <c r="E8" i="11"/>
  <c r="C2" i="11"/>
  <c r="E2" i="11"/>
  <c r="F3" i="11"/>
  <c r="F4" i="11"/>
  <c r="F5" i="11"/>
  <c r="F7" i="11"/>
  <c r="F8" i="11"/>
  <c r="F2" i="11"/>
  <c r="G3" i="11"/>
  <c r="G4" i="11"/>
  <c r="G5" i="11"/>
  <c r="G6" i="11"/>
  <c r="G7" i="11"/>
  <c r="G8" i="11"/>
  <c r="G2" i="11"/>
  <c r="H3" i="11"/>
  <c r="H4" i="11"/>
  <c r="H5" i="11"/>
  <c r="H7" i="11"/>
  <c r="H8" i="11"/>
  <c r="H2" i="11"/>
  <c r="I3" i="11"/>
  <c r="I4" i="11"/>
  <c r="I5" i="11"/>
  <c r="I7" i="11"/>
  <c r="I8" i="11"/>
  <c r="I2" i="11"/>
  <c r="C5" i="1"/>
  <c r="H21" i="3"/>
  <c r="H19" i="3"/>
  <c r="H17" i="3"/>
  <c r="E15" i="3"/>
  <c r="H15" i="3"/>
  <c r="H13" i="3"/>
  <c r="H11" i="3"/>
  <c r="G11" i="3"/>
  <c r="F11" i="3"/>
  <c r="E11" i="3"/>
  <c r="D11" i="3"/>
  <c r="C11" i="3"/>
  <c r="B11" i="3"/>
  <c r="G9" i="3"/>
  <c r="G7" i="3"/>
  <c r="G5" i="3"/>
  <c r="U6" i="1"/>
  <c r="U7" i="1"/>
  <c r="U8" i="1"/>
  <c r="U9" i="1"/>
  <c r="U10" i="1"/>
  <c r="U11" i="1"/>
  <c r="U5" i="1"/>
  <c r="T9" i="1"/>
  <c r="S6" i="1"/>
  <c r="S10" i="1"/>
  <c r="R9" i="1"/>
  <c r="S7" i="1" s="1"/>
  <c r="Q6" i="1"/>
  <c r="Q10" i="1"/>
  <c r="P9" i="1"/>
  <c r="Q7" i="1" s="1"/>
  <c r="I5" i="1"/>
  <c r="I8" i="1"/>
  <c r="I9" i="1"/>
  <c r="H9" i="1"/>
  <c r="I6" i="1" s="1"/>
  <c r="M10" i="1"/>
  <c r="N9" i="1"/>
  <c r="O6" i="1" s="1"/>
  <c r="L9" i="1"/>
  <c r="M7" i="1" s="1"/>
  <c r="K6" i="1"/>
  <c r="F9" i="1"/>
  <c r="G6" i="1" s="1"/>
  <c r="D9" i="1"/>
  <c r="E6" i="1" s="1"/>
  <c r="C9" i="1"/>
  <c r="B10" i="1"/>
  <c r="H7" i="3" l="1"/>
  <c r="D7" i="3"/>
  <c r="D9" i="3"/>
  <c r="E7" i="3"/>
  <c r="E19" i="3"/>
  <c r="D3" i="3"/>
  <c r="D5" i="3"/>
  <c r="H9" i="3"/>
  <c r="E3" i="3"/>
  <c r="H5" i="3"/>
  <c r="H3" i="3"/>
  <c r="E13" i="3"/>
  <c r="E17" i="3"/>
  <c r="E21" i="3"/>
  <c r="E9" i="3"/>
  <c r="B15" i="3"/>
  <c r="B19" i="3"/>
  <c r="B3" i="3"/>
  <c r="B5" i="3"/>
  <c r="B9" i="3"/>
  <c r="C13" i="3"/>
  <c r="G13" i="3"/>
  <c r="C15" i="3"/>
  <c r="G15" i="3"/>
  <c r="C17" i="3"/>
  <c r="G17" i="3"/>
  <c r="C19" i="3"/>
  <c r="G19" i="3"/>
  <c r="C21" i="3"/>
  <c r="G21" i="3"/>
  <c r="E5" i="3"/>
  <c r="B13" i="3"/>
  <c r="B17" i="3"/>
  <c r="B21" i="3"/>
  <c r="F3" i="3"/>
  <c r="B7" i="3"/>
  <c r="C3" i="3"/>
  <c r="C5" i="3"/>
  <c r="C7" i="3"/>
  <c r="C9" i="3"/>
  <c r="D13" i="3"/>
  <c r="D15" i="3"/>
  <c r="D17" i="3"/>
  <c r="D19" i="3"/>
  <c r="D21" i="3"/>
  <c r="Q9" i="1"/>
  <c r="S9" i="1"/>
  <c r="E11" i="1"/>
  <c r="I11" i="1"/>
  <c r="I7" i="1"/>
  <c r="Q5" i="1"/>
  <c r="Q8" i="1"/>
  <c r="S5" i="1"/>
  <c r="S8" i="1"/>
  <c r="E10" i="1"/>
  <c r="I10" i="1"/>
  <c r="Q11" i="1"/>
  <c r="S11" i="1"/>
  <c r="E7" i="1"/>
  <c r="E5" i="1"/>
  <c r="E9" i="1"/>
  <c r="K9" i="1"/>
  <c r="O9" i="1"/>
  <c r="M6" i="1"/>
  <c r="C6" i="1"/>
  <c r="C8" i="1"/>
  <c r="E8" i="1"/>
  <c r="G5" i="1"/>
  <c r="G8" i="1"/>
  <c r="K5" i="1"/>
  <c r="K8" i="1"/>
  <c r="M9" i="1"/>
  <c r="O5" i="1"/>
  <c r="O8" i="1"/>
  <c r="G11" i="1"/>
  <c r="G7" i="1"/>
  <c r="K11" i="1"/>
  <c r="K7" i="1"/>
  <c r="M5" i="1"/>
  <c r="M8" i="1"/>
  <c r="O11" i="1"/>
  <c r="O7" i="1"/>
  <c r="G9" i="1"/>
  <c r="C11" i="1"/>
  <c r="C7" i="1"/>
  <c r="C10" i="1"/>
  <c r="G10" i="1"/>
  <c r="K10" i="1"/>
  <c r="M11" i="1"/>
  <c r="O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54095C-0CB4-4B33-BB6E-6B4F9218AB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AA3633E-22B0-4E70-9F11-F2FCFB6D85F8}" name="WorksheetConnection_Market-Share!$A$1:$K$8" type="102" refreshedVersion="8" minRefreshableVersion="5">
    <extLst>
      <ext xmlns:x15="http://schemas.microsoft.com/office/spreadsheetml/2010/11/main" uri="{DE250136-89BD-433C-8126-D09CA5730AF9}">
        <x15:connection id="Range" autoDelete="1">
          <x15:rangePr sourceName="_xlcn.WorksheetConnection_MarketShareA1K81"/>
        </x15:connection>
      </ext>
    </extLst>
  </connection>
  <connection id="3" xr16:uid="{0D23A0A3-925E-4A77-B30C-A7CAD2EB12F5}" name="WorksheetConnection_Market-Share!$M$1:$T$11" type="102" refreshedVersion="8" minRefreshableVersion="5">
    <extLst>
      <ext xmlns:x15="http://schemas.microsoft.com/office/spreadsheetml/2010/11/main" uri="{DE250136-89BD-433C-8126-D09CA5730AF9}">
        <x15:connection id="Range 1" autoDelete="1">
          <x15:rangePr sourceName="_xlcn.WorksheetConnection_MarketShareM1T111"/>
        </x15:connection>
      </ext>
    </extLst>
  </connection>
  <connection id="4" xr16:uid="{166C0595-B9B7-4BF9-8B85-5DCE98073008}" name="WorksheetConnection_Sheet3!$A$26:$H$32" type="102" refreshedVersion="8" minRefreshableVersion="5">
    <extLst>
      <ext xmlns:x15="http://schemas.microsoft.com/office/spreadsheetml/2010/11/main" uri="{DE250136-89BD-433C-8126-D09CA5730AF9}">
        <x15:connection id="Range 3" autoDelete="1">
          <x15:rangePr sourceName="_xlcn.WorksheetConnection_Sheet3A26H321"/>
        </x15:connection>
      </ext>
    </extLst>
  </connection>
</connections>
</file>

<file path=xl/sharedStrings.xml><?xml version="1.0" encoding="utf-8"?>
<sst xmlns="http://schemas.openxmlformats.org/spreadsheetml/2006/main" count="221" uniqueCount="71">
  <si>
    <t>Company</t>
  </si>
  <si>
    <t>2Q23</t>
  </si>
  <si>
    <t>2Q23 Market Share</t>
  </si>
  <si>
    <t>2Q22</t>
  </si>
  <si>
    <t>2Q23 Shipments</t>
  </si>
  <si>
    <t>2Q22 Market Share</t>
  </si>
  <si>
    <t>Samsung</t>
  </si>
  <si>
    <t>OPPO</t>
  </si>
  <si>
    <t>Vivo</t>
  </si>
  <si>
    <t>Xiaomi</t>
  </si>
  <si>
    <t>Transsion</t>
  </si>
  <si>
    <t>Others</t>
  </si>
  <si>
    <t>Grand Total</t>
  </si>
  <si>
    <t>2Q22 Shipments</t>
  </si>
  <si>
    <t>1Q23 Shipments</t>
  </si>
  <si>
    <t>1Q23 Market Share</t>
  </si>
  <si>
    <t>1Q22</t>
  </si>
  <si>
    <t>1Q23</t>
  </si>
  <si>
    <t>1Q22 Shipments</t>
  </si>
  <si>
    <t>1Q22 Market Share</t>
  </si>
  <si>
    <t>4Q22 Shipments</t>
  </si>
  <si>
    <t>4Q22 Market Share</t>
  </si>
  <si>
    <t>Realme</t>
  </si>
  <si>
    <t>4Q21</t>
  </si>
  <si>
    <t>4Q21 Shipments</t>
  </si>
  <si>
    <t>4Q21 Market Share</t>
  </si>
  <si>
    <t>3Q22 Shipments</t>
  </si>
  <si>
    <t>3Q22 Market Share</t>
  </si>
  <si>
    <t>3Q21 Shipments</t>
  </si>
  <si>
    <t>3Q21 Market Share</t>
  </si>
  <si>
    <t>Date</t>
  </si>
  <si>
    <t>2Q21 Shipments</t>
  </si>
  <si>
    <t>2Q21 Market Share</t>
  </si>
  <si>
    <t>.</t>
  </si>
  <si>
    <t>1Q21 Shipments</t>
  </si>
  <si>
    <t>1Q21 Market Share</t>
  </si>
  <si>
    <t>1Q21</t>
  </si>
  <si>
    <t>2Q21</t>
  </si>
  <si>
    <t>3Q21</t>
  </si>
  <si>
    <t>4Q22</t>
  </si>
  <si>
    <t>3Q22</t>
  </si>
  <si>
    <t>N/A</t>
  </si>
  <si>
    <t xml:space="preserve"> Others</t>
  </si>
  <si>
    <t xml:space="preserve"> Realme</t>
  </si>
  <si>
    <t xml:space="preserve"> Transsion</t>
  </si>
  <si>
    <t xml:space="preserve"> Xiaomi</t>
  </si>
  <si>
    <t xml:space="preserve"> Vivo</t>
  </si>
  <si>
    <t xml:space="preserve"> OPPO</t>
  </si>
  <si>
    <t xml:space="preserve"> Samsung</t>
  </si>
  <si>
    <t xml:space="preserve"> 1Q21</t>
  </si>
  <si>
    <t xml:space="preserve"> 2Q21</t>
  </si>
  <si>
    <t xml:space="preserve"> 3Q21</t>
  </si>
  <si>
    <t xml:space="preserve"> 4Q21</t>
  </si>
  <si>
    <t xml:space="preserve"> 1Q22</t>
  </si>
  <si>
    <t xml:space="preserve"> 2Q22</t>
  </si>
  <si>
    <t xml:space="preserve"> 3Q22</t>
  </si>
  <si>
    <t xml:space="preserve"> 4Q22</t>
  </si>
  <si>
    <t xml:space="preserve"> 1Q23</t>
  </si>
  <si>
    <t xml:space="preserve"> 2Q23</t>
  </si>
  <si>
    <t xml:space="preserve">Date </t>
  </si>
  <si>
    <t>NULL</t>
  </si>
  <si>
    <t>Column Labels</t>
  </si>
  <si>
    <t>Values</t>
  </si>
  <si>
    <t xml:space="preserve">Samsung </t>
  </si>
  <si>
    <t xml:space="preserve">OPPO </t>
  </si>
  <si>
    <t xml:space="preserve">Vivo </t>
  </si>
  <si>
    <t xml:space="preserve">Xiaomi </t>
  </si>
  <si>
    <t xml:space="preserve">Transsion </t>
  </si>
  <si>
    <t xml:space="preserve">Realme </t>
  </si>
  <si>
    <t xml:space="preserve">Others </t>
  </si>
  <si>
    <t>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</si>
</sst>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164" fontId="0" fillId="0" borderId="0" xfId="42" applyNumberFormat="1" applyFont="1"/>
    <xf numFmtId="164" fontId="0" fillId="0" borderId="0" xfId="0" applyNumberFormat="1" applyAlignment="1">
      <alignment horizontal="right"/>
    </xf>
    <xf numFmtId="10" fontId="0" fillId="0" borderId="0" xfId="42" applyNumberFormat="1" applyFont="1"/>
    <xf numFmtId="10" fontId="0" fillId="0" borderId="0" xfId="0" applyNumberFormat="1"/>
    <xf numFmtId="10" fontId="0" fillId="0" borderId="0" xfId="0" applyNumberFormat="1"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14" formatCode="0.00%"/>
    </dxf>
    <dxf>
      <font>
        <sz val="11"/>
      </font>
    </dxf>
    <dxf>
      <alignment horizontal="right"/>
    </dxf>
    <dxf>
      <numFmt numFmtId="164" formatCode="0.0%"/>
    </dxf>
    <dxf>
      <alignment horizontal="right"/>
    </dxf>
    <dxf>
      <numFmt numFmtId="164" formatCode="0.0%"/>
    </dxf>
    <dxf>
      <font>
        <b/>
        <i val="0"/>
        <strike val="0"/>
        <sz val="14"/>
        <color theme="0"/>
        <name val="Bahnschrift Light"/>
        <family val="2"/>
        <scheme val="none"/>
      </font>
      <fill>
        <patternFill>
          <fgColor theme="1" tint="0.14993743705557422"/>
          <bgColor theme="1" tint="0.14996795556505021"/>
        </patternFill>
      </fill>
    </dxf>
  </dxfs>
  <tableStyles count="1" defaultTableStyle="TableStyleMedium2" defaultPivotStyle="PivotStyleLight16">
    <tableStyle name="Slicer Style 1" pivot="0" table="0" count="3" xr9:uid="{251B25D8-B909-4A66-A802-5476243EDF5B}">
      <tableStyleElement type="wholeTable" dxfId="6"/>
    </tableStyle>
  </tableStyles>
  <colors>
    <mruColors>
      <color rgb="FF002060"/>
      <color rgb="FF000724"/>
      <color rgb="FF000000"/>
      <color rgb="FF262626"/>
    </mruColors>
  </colors>
  <extLst>
    <ext xmlns:x14="http://schemas.microsoft.com/office/spreadsheetml/2009/9/main" uri="{46F421CA-312F-682f-3DD2-61675219B42D}">
      <x14:dxfs count="2">
        <dxf>
          <font>
            <color theme="0"/>
          </font>
          <fill>
            <patternFill>
              <bgColor rgb="FF0070C0"/>
            </patternFill>
          </fill>
        </dxf>
        <dxf>
          <font>
            <color theme="0"/>
            <name val="Bahnschrift Light"/>
            <family val="2"/>
            <scheme val="none"/>
          </font>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[Smartphone-Sales-in-Indonesia.xlsx]Shipments-Pivot!PivotTable11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'Shipments-Pivot'!$B$3</c:f>
              <c:strCache>
                <c:ptCount val="1"/>
                <c:pt idx="0">
                  <c:v> Samsung</c:v>
                </c:pt>
              </c:strCache>
            </c:strRef>
          </c:tx>
          <c:spPr>
            <a:solidFill>
              <a:schemeClr val="accent1"/>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'Shipments-Pivot'!$B$4:$B$14</c:f>
              <c:numCache>
                <c:formatCode>General</c:formatCode>
                <c:ptCount val="10"/>
                <c:pt idx="0">
                  <c:v>2000000</c:v>
                </c:pt>
                <c:pt idx="1">
                  <c:v>1700000</c:v>
                </c:pt>
                <c:pt idx="2">
                  <c:v>1500000</c:v>
                </c:pt>
                <c:pt idx="3">
                  <c:v>1900000</c:v>
                </c:pt>
                <c:pt idx="4">
                  <c:v>2100000</c:v>
                </c:pt>
                <c:pt idx="5">
                  <c:v>1900000</c:v>
                </c:pt>
                <c:pt idx="6">
                  <c:v>1800000</c:v>
                </c:pt>
                <c:pt idx="7">
                  <c:v>1800000</c:v>
                </c:pt>
                <c:pt idx="8">
                  <c:v>1900000</c:v>
                </c:pt>
                <c:pt idx="9">
                  <c:v>1900000</c:v>
                </c:pt>
              </c:numCache>
            </c:numRef>
          </c:val>
          <c:extLst>
            <c:ext xmlns:c16="http://schemas.microsoft.com/office/drawing/2014/chart" uri="{C3380CC4-5D6E-409C-BE32-E72D297353CC}">
              <c16:uniqueId val="{00000000-F7A4-46FB-B77B-60F499049F9C}"/>
            </c:ext>
          </c:extLst>
        </c:ser>
        <c:ser>
          <c:idx val="1"/>
          <c:order val="1"/>
          <c:tx>
            <c:strRef>
              <c:f>'Shipments-Pivot'!$C$3</c:f>
              <c:strCache>
                <c:ptCount val="1"/>
                <c:pt idx="0">
                  <c:v> OPPO</c:v>
                </c:pt>
              </c:strCache>
            </c:strRef>
          </c:tx>
          <c:spPr>
            <a:solidFill>
              <a:schemeClr val="accent2"/>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'Shipments-Pivot'!$C$4:$C$14</c:f>
              <c:numCache>
                <c:formatCode>General</c:formatCode>
                <c:ptCount val="10"/>
                <c:pt idx="0">
                  <c:v>2500000</c:v>
                </c:pt>
                <c:pt idx="1">
                  <c:v>2000000</c:v>
                </c:pt>
                <c:pt idx="2">
                  <c:v>2000000</c:v>
                </c:pt>
                <c:pt idx="3">
                  <c:v>2100000</c:v>
                </c:pt>
                <c:pt idx="4">
                  <c:v>1800000</c:v>
                </c:pt>
                <c:pt idx="5">
                  <c:v>2000000</c:v>
                </c:pt>
                <c:pt idx="6">
                  <c:v>1900000</c:v>
                </c:pt>
                <c:pt idx="7">
                  <c:v>2200000</c:v>
                </c:pt>
                <c:pt idx="8">
                  <c:v>1800000</c:v>
                </c:pt>
                <c:pt idx="9">
                  <c:v>1600000</c:v>
                </c:pt>
              </c:numCache>
            </c:numRef>
          </c:val>
          <c:extLst>
            <c:ext xmlns:c16="http://schemas.microsoft.com/office/drawing/2014/chart" uri="{C3380CC4-5D6E-409C-BE32-E72D297353CC}">
              <c16:uniqueId val="{00000001-F7A4-46FB-B77B-60F499049F9C}"/>
            </c:ext>
          </c:extLst>
        </c:ser>
        <c:ser>
          <c:idx val="2"/>
          <c:order val="2"/>
          <c:tx>
            <c:strRef>
              <c:f>'Shipments-Pivot'!$D$3</c:f>
              <c:strCache>
                <c:ptCount val="1"/>
                <c:pt idx="0">
                  <c:v> Vivo</c:v>
                </c:pt>
              </c:strCache>
            </c:strRef>
          </c:tx>
          <c:spPr>
            <a:solidFill>
              <a:schemeClr val="accent3"/>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'Shipments-Pivot'!$D$4:$D$14</c:f>
              <c:numCache>
                <c:formatCode>General</c:formatCode>
                <c:ptCount val="10"/>
                <c:pt idx="0">
                  <c:v>1700000</c:v>
                </c:pt>
                <c:pt idx="1">
                  <c:v>1800000</c:v>
                </c:pt>
                <c:pt idx="2">
                  <c:v>1900000</c:v>
                </c:pt>
                <c:pt idx="3">
                  <c:v>2000000</c:v>
                </c:pt>
                <c:pt idx="4">
                  <c:v>1500000</c:v>
                </c:pt>
                <c:pt idx="5">
                  <c:v>1700000</c:v>
                </c:pt>
                <c:pt idx="6">
                  <c:v>1500000</c:v>
                </c:pt>
                <c:pt idx="7">
                  <c:v>1500000</c:v>
                </c:pt>
                <c:pt idx="8">
                  <c:v>1300000</c:v>
                </c:pt>
                <c:pt idx="9">
                  <c:v>1500000</c:v>
                </c:pt>
              </c:numCache>
            </c:numRef>
          </c:val>
          <c:extLst>
            <c:ext xmlns:c16="http://schemas.microsoft.com/office/drawing/2014/chart" uri="{C3380CC4-5D6E-409C-BE32-E72D297353CC}">
              <c16:uniqueId val="{00000002-F7A4-46FB-B77B-60F499049F9C}"/>
            </c:ext>
          </c:extLst>
        </c:ser>
        <c:ser>
          <c:idx val="3"/>
          <c:order val="3"/>
          <c:tx>
            <c:strRef>
              <c:f>'Shipments-Pivot'!$E$3</c:f>
              <c:strCache>
                <c:ptCount val="1"/>
                <c:pt idx="0">
                  <c:v> Xiaomi</c:v>
                </c:pt>
              </c:strCache>
            </c:strRef>
          </c:tx>
          <c:spPr>
            <a:solidFill>
              <a:schemeClr val="accent4"/>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'Shipments-Pivot'!$E$4:$E$14</c:f>
              <c:numCache>
                <c:formatCode>General</c:formatCode>
                <c:ptCount val="10"/>
                <c:pt idx="0">
                  <c:v>2200000</c:v>
                </c:pt>
                <c:pt idx="1">
                  <c:v>2800000</c:v>
                </c:pt>
                <c:pt idx="2">
                  <c:v>1600000</c:v>
                </c:pt>
                <c:pt idx="3">
                  <c:v>1600000</c:v>
                </c:pt>
                <c:pt idx="4">
                  <c:v>1300000</c:v>
                </c:pt>
                <c:pt idx="5">
                  <c:v>1500000</c:v>
                </c:pt>
                <c:pt idx="6">
                  <c:v>1100000</c:v>
                </c:pt>
                <c:pt idx="7">
                  <c:v>1100000</c:v>
                </c:pt>
                <c:pt idx="8">
                  <c:v>1100000</c:v>
                </c:pt>
                <c:pt idx="9">
                  <c:v>1300000</c:v>
                </c:pt>
              </c:numCache>
            </c:numRef>
          </c:val>
          <c:extLst>
            <c:ext xmlns:c16="http://schemas.microsoft.com/office/drawing/2014/chart" uri="{C3380CC4-5D6E-409C-BE32-E72D297353CC}">
              <c16:uniqueId val="{00000003-F7A4-46FB-B77B-60F499049F9C}"/>
            </c:ext>
          </c:extLst>
        </c:ser>
        <c:ser>
          <c:idx val="4"/>
          <c:order val="4"/>
          <c:tx>
            <c:strRef>
              <c:f>'Shipments-Pivot'!$F$3</c:f>
              <c:strCache>
                <c:ptCount val="1"/>
                <c:pt idx="0">
                  <c:v> Transsion</c:v>
                </c:pt>
              </c:strCache>
            </c:strRef>
          </c:tx>
          <c:spPr>
            <a:solidFill>
              <a:schemeClr val="accent5"/>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'Shipments-Pivot'!$F$4:$F$14</c:f>
              <c:numCache>
                <c:formatCode>General</c:formatCode>
                <c:ptCount val="10"/>
                <c:pt idx="0">
                  <c:v>#N/A</c:v>
                </c:pt>
                <c:pt idx="1">
                  <c:v>#N/A</c:v>
                </c:pt>
                <c:pt idx="2">
                  <c:v>#N/A</c:v>
                </c:pt>
                <c:pt idx="3">
                  <c:v>#N/A</c:v>
                </c:pt>
                <c:pt idx="4">
                  <c:v>#N/A</c:v>
                </c:pt>
                <c:pt idx="5">
                  <c:v>1100000</c:v>
                </c:pt>
                <c:pt idx="6">
                  <c:v>#N/A</c:v>
                </c:pt>
                <c:pt idx="7">
                  <c:v>#N/A</c:v>
                </c:pt>
                <c:pt idx="8">
                  <c:v>#N/A</c:v>
                </c:pt>
                <c:pt idx="9">
                  <c:v>1200000</c:v>
                </c:pt>
              </c:numCache>
            </c:numRef>
          </c:val>
          <c:extLst>
            <c:ext xmlns:c16="http://schemas.microsoft.com/office/drawing/2014/chart" uri="{C3380CC4-5D6E-409C-BE32-E72D297353CC}">
              <c16:uniqueId val="{00000004-F7A4-46FB-B77B-60F499049F9C}"/>
            </c:ext>
          </c:extLst>
        </c:ser>
        <c:ser>
          <c:idx val="5"/>
          <c:order val="5"/>
          <c:tx>
            <c:strRef>
              <c:f>'Shipments-Pivot'!$G$3</c:f>
              <c:strCache>
                <c:ptCount val="1"/>
                <c:pt idx="0">
                  <c:v> Realme</c:v>
                </c:pt>
              </c:strCache>
            </c:strRef>
          </c:tx>
          <c:spPr>
            <a:solidFill>
              <a:schemeClr val="accent6"/>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'Shipments-Pivot'!$G$4:$G$14</c:f>
              <c:numCache>
                <c:formatCode>General</c:formatCode>
                <c:ptCount val="10"/>
                <c:pt idx="0">
                  <c:v>1300000</c:v>
                </c:pt>
                <c:pt idx="1">
                  <c:v>1200000</c:v>
                </c:pt>
                <c:pt idx="2">
                  <c:v>1200000</c:v>
                </c:pt>
                <c:pt idx="3">
                  <c:v>1400000</c:v>
                </c:pt>
                <c:pt idx="4">
                  <c:v>1100000</c:v>
                </c:pt>
                <c:pt idx="5">
                  <c:v>1200000</c:v>
                </c:pt>
                <c:pt idx="6">
                  <c:v>900000</c:v>
                </c:pt>
                <c:pt idx="7">
                  <c:v>1000000</c:v>
                </c:pt>
                <c:pt idx="8">
                  <c:v>800000</c:v>
                </c:pt>
                <c:pt idx="9">
                  <c:v>#N/A</c:v>
                </c:pt>
              </c:numCache>
            </c:numRef>
          </c:val>
          <c:extLst>
            <c:ext xmlns:c16="http://schemas.microsoft.com/office/drawing/2014/chart" uri="{C3380CC4-5D6E-409C-BE32-E72D297353CC}">
              <c16:uniqueId val="{00000005-F7A4-46FB-B77B-60F499049F9C}"/>
            </c:ext>
          </c:extLst>
        </c:ser>
        <c:ser>
          <c:idx val="6"/>
          <c:order val="6"/>
          <c:tx>
            <c:strRef>
              <c:f>'Shipments-Pivot'!$H$3</c:f>
              <c:strCache>
                <c:ptCount val="1"/>
                <c:pt idx="0">
                  <c:v> Others</c:v>
                </c:pt>
              </c:strCache>
            </c:strRef>
          </c:tx>
          <c:spPr>
            <a:solidFill>
              <a:schemeClr val="accent1">
                <a:lumMod val="60000"/>
              </a:schemeClr>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'Shipments-Pivot'!$H$4:$H$14</c:f>
              <c:numCache>
                <c:formatCode>General</c:formatCode>
                <c:ptCount val="10"/>
                <c:pt idx="0">
                  <c:v>1100000</c:v>
                </c:pt>
                <c:pt idx="1">
                  <c:v>1100000</c:v>
                </c:pt>
                <c:pt idx="2">
                  <c:v>1100000</c:v>
                </c:pt>
                <c:pt idx="3">
                  <c:v>1300000</c:v>
                </c:pt>
                <c:pt idx="4">
                  <c:v>1100000</c:v>
                </c:pt>
                <c:pt idx="5">
                  <c:v>1400000</c:v>
                </c:pt>
                <c:pt idx="6">
                  <c:v>1000000</c:v>
                </c:pt>
                <c:pt idx="7">
                  <c:v>800000</c:v>
                </c:pt>
                <c:pt idx="8">
                  <c:v>900000</c:v>
                </c:pt>
                <c:pt idx="9">
                  <c:v>1500000</c:v>
                </c:pt>
              </c:numCache>
            </c:numRef>
          </c:val>
          <c:extLst>
            <c:ext xmlns:c16="http://schemas.microsoft.com/office/drawing/2014/chart" uri="{C3380CC4-5D6E-409C-BE32-E72D297353CC}">
              <c16:uniqueId val="{00000006-F7A4-46FB-B77B-60F499049F9C}"/>
            </c:ext>
          </c:extLst>
        </c:ser>
        <c:dLbls>
          <c:showLegendKey val="0"/>
          <c:showVal val="0"/>
          <c:showCatName val="0"/>
          <c:showSerName val="0"/>
          <c:showPercent val="0"/>
          <c:showBubbleSize val="0"/>
        </c:dLbls>
        <c:gapWidth val="150"/>
        <c:overlap val="100"/>
        <c:axId val="1154027400"/>
        <c:axId val="1154025960"/>
      </c:barChart>
      <c:catAx>
        <c:axId val="115402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025960"/>
        <c:crosses val="autoZero"/>
        <c:auto val="1"/>
        <c:lblAlgn val="ctr"/>
        <c:lblOffset val="100"/>
        <c:noMultiLvlLbl val="0"/>
      </c:catAx>
      <c:valAx>
        <c:axId val="1154025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027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[Smartphone-Sales-in-Indonesia.xlsx]Shipments-Pivot!PivotTable11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'Shipments-Pivot'!$B$3</c:f>
              <c:strCache>
                <c:ptCount val="1"/>
                <c:pt idx="0">
                  <c:v> Samsung</c:v>
                </c:pt>
              </c:strCache>
            </c:strRef>
          </c:tx>
          <c:spPr>
            <a:ln w="28575" cap="rnd">
              <a:solidFill>
                <a:schemeClr val="accent1"/>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'Shipments-Pivot'!$B$4:$B$14</c:f>
              <c:numCache>
                <c:formatCode>General</c:formatCode>
                <c:ptCount val="10"/>
                <c:pt idx="0">
                  <c:v>2000000</c:v>
                </c:pt>
                <c:pt idx="1">
                  <c:v>1700000</c:v>
                </c:pt>
                <c:pt idx="2">
                  <c:v>1500000</c:v>
                </c:pt>
                <c:pt idx="3">
                  <c:v>1900000</c:v>
                </c:pt>
                <c:pt idx="4">
                  <c:v>2100000</c:v>
                </c:pt>
                <c:pt idx="5">
                  <c:v>1900000</c:v>
                </c:pt>
                <c:pt idx="6">
                  <c:v>1800000</c:v>
                </c:pt>
                <c:pt idx="7">
                  <c:v>1800000</c:v>
                </c:pt>
                <c:pt idx="8">
                  <c:v>1900000</c:v>
                </c:pt>
                <c:pt idx="9">
                  <c:v>1900000</c:v>
                </c:pt>
              </c:numCache>
            </c:numRef>
          </c:val>
          <c:smooth val="0"/>
          <c:extLst>
            <c:ext xmlns:c16="http://schemas.microsoft.com/office/drawing/2014/chart" uri="{C3380CC4-5D6E-409C-BE32-E72D297353CC}">
              <c16:uniqueId val="{00000000-7519-428D-A3CF-6C3AED96C9BC}"/>
            </c:ext>
          </c:extLst>
        </c:ser>
        <c:ser>
          <c:idx val="1"/>
          <c:order val="1"/>
          <c:tx>
            <c:strRef>
              <c:f>'Shipments-Pivot'!$C$3</c:f>
              <c:strCache>
                <c:ptCount val="1"/>
                <c:pt idx="0">
                  <c:v> OPPO</c:v>
                </c:pt>
              </c:strCache>
            </c:strRef>
          </c:tx>
          <c:spPr>
            <a:ln w="28575" cap="rnd">
              <a:solidFill>
                <a:schemeClr val="accent2"/>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'Shipments-Pivot'!$C$4:$C$14</c:f>
              <c:numCache>
                <c:formatCode>General</c:formatCode>
                <c:ptCount val="10"/>
                <c:pt idx="0">
                  <c:v>2500000</c:v>
                </c:pt>
                <c:pt idx="1">
                  <c:v>2000000</c:v>
                </c:pt>
                <c:pt idx="2">
                  <c:v>2000000</c:v>
                </c:pt>
                <c:pt idx="3">
                  <c:v>2100000</c:v>
                </c:pt>
                <c:pt idx="4">
                  <c:v>1800000</c:v>
                </c:pt>
                <c:pt idx="5">
                  <c:v>2000000</c:v>
                </c:pt>
                <c:pt idx="6">
                  <c:v>1900000</c:v>
                </c:pt>
                <c:pt idx="7">
                  <c:v>2200000</c:v>
                </c:pt>
                <c:pt idx="8">
                  <c:v>1800000</c:v>
                </c:pt>
                <c:pt idx="9">
                  <c:v>1600000</c:v>
                </c:pt>
              </c:numCache>
            </c:numRef>
          </c:val>
          <c:smooth val="0"/>
          <c:extLst>
            <c:ext xmlns:c16="http://schemas.microsoft.com/office/drawing/2014/chart" uri="{C3380CC4-5D6E-409C-BE32-E72D297353CC}">
              <c16:uniqueId val="{00000001-7519-428D-A3CF-6C3AED96C9BC}"/>
            </c:ext>
          </c:extLst>
        </c:ser>
        <c:ser>
          <c:idx val="2"/>
          <c:order val="2"/>
          <c:tx>
            <c:strRef>
              <c:f>'Shipments-Pivot'!$D$3</c:f>
              <c:strCache>
                <c:ptCount val="1"/>
                <c:pt idx="0">
                  <c:v> Vivo</c:v>
                </c:pt>
              </c:strCache>
            </c:strRef>
          </c:tx>
          <c:spPr>
            <a:ln w="28575" cap="rnd">
              <a:solidFill>
                <a:schemeClr val="accent3"/>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'Shipments-Pivot'!$D$4:$D$14</c:f>
              <c:numCache>
                <c:formatCode>General</c:formatCode>
                <c:ptCount val="10"/>
                <c:pt idx="0">
                  <c:v>1700000</c:v>
                </c:pt>
                <c:pt idx="1">
                  <c:v>1800000</c:v>
                </c:pt>
                <c:pt idx="2">
                  <c:v>1900000</c:v>
                </c:pt>
                <c:pt idx="3">
                  <c:v>2000000</c:v>
                </c:pt>
                <c:pt idx="4">
                  <c:v>1500000</c:v>
                </c:pt>
                <c:pt idx="5">
                  <c:v>1700000</c:v>
                </c:pt>
                <c:pt idx="6">
                  <c:v>1500000</c:v>
                </c:pt>
                <c:pt idx="7">
                  <c:v>1500000</c:v>
                </c:pt>
                <c:pt idx="8">
                  <c:v>1300000</c:v>
                </c:pt>
                <c:pt idx="9">
                  <c:v>1500000</c:v>
                </c:pt>
              </c:numCache>
            </c:numRef>
          </c:val>
          <c:smooth val="0"/>
          <c:extLst>
            <c:ext xmlns:c16="http://schemas.microsoft.com/office/drawing/2014/chart" uri="{C3380CC4-5D6E-409C-BE32-E72D297353CC}">
              <c16:uniqueId val="{00000002-7519-428D-A3CF-6C3AED96C9BC}"/>
            </c:ext>
          </c:extLst>
        </c:ser>
        <c:ser>
          <c:idx val="3"/>
          <c:order val="3"/>
          <c:tx>
            <c:strRef>
              <c:f>'Shipments-Pivot'!$E$3</c:f>
              <c:strCache>
                <c:ptCount val="1"/>
                <c:pt idx="0">
                  <c:v> Xiaomi</c:v>
                </c:pt>
              </c:strCache>
            </c:strRef>
          </c:tx>
          <c:spPr>
            <a:ln w="28575" cap="rnd">
              <a:solidFill>
                <a:schemeClr val="accent4"/>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'Shipments-Pivot'!$E$4:$E$14</c:f>
              <c:numCache>
                <c:formatCode>General</c:formatCode>
                <c:ptCount val="10"/>
                <c:pt idx="0">
                  <c:v>2200000</c:v>
                </c:pt>
                <c:pt idx="1">
                  <c:v>2800000</c:v>
                </c:pt>
                <c:pt idx="2">
                  <c:v>1600000</c:v>
                </c:pt>
                <c:pt idx="3">
                  <c:v>1600000</c:v>
                </c:pt>
                <c:pt idx="4">
                  <c:v>1300000</c:v>
                </c:pt>
                <c:pt idx="5">
                  <c:v>1500000</c:v>
                </c:pt>
                <c:pt idx="6">
                  <c:v>1100000</c:v>
                </c:pt>
                <c:pt idx="7">
                  <c:v>1100000</c:v>
                </c:pt>
                <c:pt idx="8">
                  <c:v>1100000</c:v>
                </c:pt>
                <c:pt idx="9">
                  <c:v>1300000</c:v>
                </c:pt>
              </c:numCache>
            </c:numRef>
          </c:val>
          <c:smooth val="0"/>
          <c:extLst>
            <c:ext xmlns:c16="http://schemas.microsoft.com/office/drawing/2014/chart" uri="{C3380CC4-5D6E-409C-BE32-E72D297353CC}">
              <c16:uniqueId val="{00000003-7519-428D-A3CF-6C3AED96C9BC}"/>
            </c:ext>
          </c:extLst>
        </c:ser>
        <c:ser>
          <c:idx val="4"/>
          <c:order val="4"/>
          <c:tx>
            <c:strRef>
              <c:f>'Shipments-Pivot'!$F$3</c:f>
              <c:strCache>
                <c:ptCount val="1"/>
                <c:pt idx="0">
                  <c:v> Transsion</c:v>
                </c:pt>
              </c:strCache>
            </c:strRef>
          </c:tx>
          <c:spPr>
            <a:ln w="28575" cap="rnd">
              <a:solidFill>
                <a:schemeClr val="accent5"/>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'Shipments-Pivot'!$F$4:$F$14</c:f>
              <c:numCache>
                <c:formatCode>General</c:formatCode>
                <c:ptCount val="10"/>
                <c:pt idx="0">
                  <c:v>#N/A</c:v>
                </c:pt>
                <c:pt idx="1">
                  <c:v>#N/A</c:v>
                </c:pt>
                <c:pt idx="2">
                  <c:v>#N/A</c:v>
                </c:pt>
                <c:pt idx="3">
                  <c:v>#N/A</c:v>
                </c:pt>
                <c:pt idx="4">
                  <c:v>#N/A</c:v>
                </c:pt>
                <c:pt idx="5">
                  <c:v>1100000</c:v>
                </c:pt>
                <c:pt idx="6">
                  <c:v>#N/A</c:v>
                </c:pt>
                <c:pt idx="7">
                  <c:v>#N/A</c:v>
                </c:pt>
                <c:pt idx="8">
                  <c:v>#N/A</c:v>
                </c:pt>
                <c:pt idx="9">
                  <c:v>1200000</c:v>
                </c:pt>
              </c:numCache>
            </c:numRef>
          </c:val>
          <c:smooth val="0"/>
          <c:extLst>
            <c:ext xmlns:c16="http://schemas.microsoft.com/office/drawing/2014/chart" uri="{C3380CC4-5D6E-409C-BE32-E72D297353CC}">
              <c16:uniqueId val="{00000004-7519-428D-A3CF-6C3AED96C9BC}"/>
            </c:ext>
          </c:extLst>
        </c:ser>
        <c:ser>
          <c:idx val="5"/>
          <c:order val="5"/>
          <c:tx>
            <c:strRef>
              <c:f>'Shipments-Pivot'!$G$3</c:f>
              <c:strCache>
                <c:ptCount val="1"/>
                <c:pt idx="0">
                  <c:v> Realme</c:v>
                </c:pt>
              </c:strCache>
            </c:strRef>
          </c:tx>
          <c:spPr>
            <a:ln w="28575" cap="rnd">
              <a:solidFill>
                <a:schemeClr val="accent6"/>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'Shipments-Pivot'!$G$4:$G$14</c:f>
              <c:numCache>
                <c:formatCode>General</c:formatCode>
                <c:ptCount val="10"/>
                <c:pt idx="0">
                  <c:v>1300000</c:v>
                </c:pt>
                <c:pt idx="1">
                  <c:v>1200000</c:v>
                </c:pt>
                <c:pt idx="2">
                  <c:v>1200000</c:v>
                </c:pt>
                <c:pt idx="3">
                  <c:v>1400000</c:v>
                </c:pt>
                <c:pt idx="4">
                  <c:v>1100000</c:v>
                </c:pt>
                <c:pt idx="5">
                  <c:v>1200000</c:v>
                </c:pt>
                <c:pt idx="6">
                  <c:v>900000</c:v>
                </c:pt>
                <c:pt idx="7">
                  <c:v>1000000</c:v>
                </c:pt>
                <c:pt idx="8">
                  <c:v>800000</c:v>
                </c:pt>
                <c:pt idx="9">
                  <c:v>#N/A</c:v>
                </c:pt>
              </c:numCache>
            </c:numRef>
          </c:val>
          <c:smooth val="0"/>
          <c:extLst>
            <c:ext xmlns:c16="http://schemas.microsoft.com/office/drawing/2014/chart" uri="{C3380CC4-5D6E-409C-BE32-E72D297353CC}">
              <c16:uniqueId val="{00000005-7519-428D-A3CF-6C3AED96C9BC}"/>
            </c:ext>
          </c:extLst>
        </c:ser>
        <c:ser>
          <c:idx val="6"/>
          <c:order val="6"/>
          <c:tx>
            <c:strRef>
              <c:f>'Shipments-Pivot'!$H$3</c:f>
              <c:strCache>
                <c:ptCount val="1"/>
                <c:pt idx="0">
                  <c:v> Others</c:v>
                </c:pt>
              </c:strCache>
            </c:strRef>
          </c:tx>
          <c:spPr>
            <a:ln w="28575" cap="rnd">
              <a:solidFill>
                <a:schemeClr val="accent1">
                  <a:lumMod val="60000"/>
                </a:schemeClr>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'Shipments-Pivot'!$H$4:$H$14</c:f>
              <c:numCache>
                <c:formatCode>General</c:formatCode>
                <c:ptCount val="10"/>
                <c:pt idx="0">
                  <c:v>1100000</c:v>
                </c:pt>
                <c:pt idx="1">
                  <c:v>1100000</c:v>
                </c:pt>
                <c:pt idx="2">
                  <c:v>1100000</c:v>
                </c:pt>
                <c:pt idx="3">
                  <c:v>1300000</c:v>
                </c:pt>
                <c:pt idx="4">
                  <c:v>1100000</c:v>
                </c:pt>
                <c:pt idx="5">
                  <c:v>1400000</c:v>
                </c:pt>
                <c:pt idx="6">
                  <c:v>1000000</c:v>
                </c:pt>
                <c:pt idx="7">
                  <c:v>800000</c:v>
                </c:pt>
                <c:pt idx="8">
                  <c:v>900000</c:v>
                </c:pt>
                <c:pt idx="9">
                  <c:v>1500000</c:v>
                </c:pt>
              </c:numCache>
            </c:numRef>
          </c:val>
          <c:smooth val="0"/>
          <c:extLst>
            <c:ext xmlns:c16="http://schemas.microsoft.com/office/drawing/2014/chart" uri="{C3380CC4-5D6E-409C-BE32-E72D297353CC}">
              <c16:uniqueId val="{00000006-7519-428D-A3CF-6C3AED96C9BC}"/>
            </c:ext>
          </c:extLst>
        </c:ser>
        <c:dLbls>
          <c:showLegendKey val="0"/>
          <c:showVal val="0"/>
          <c:showCatName val="0"/>
          <c:showSerName val="0"/>
          <c:showPercent val="0"/>
          <c:showBubbleSize val="0"/>
        </c:dLbls>
        <c:smooth val="0"/>
        <c:axId val="1154042160"/>
        <c:axId val="1154038920"/>
      </c:lineChart>
      <c:catAx>
        <c:axId val="115404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038920"/>
        <c:crosses val="autoZero"/>
        <c:auto val="1"/>
        <c:lblAlgn val="ctr"/>
        <c:lblOffset val="100"/>
        <c:noMultiLvlLbl val="0"/>
      </c:catAx>
      <c:valAx>
        <c:axId val="1154038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0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[Smartphone-Sales-in-Indonesia.xlsx]Shipments-Pivot!PivotTable11</c:name>
    <c:fmtId val="4"/>
  </c:pivotSource>
  <c:chart>
    <c:title>
      <c:tx>
        <c:rich>
          <a:bodyPr rot="0" spcFirstLastPara="1" vertOverflow="ellipsis" vert="horz" wrap="square" anchor="ctr" anchorCtr="1"/>
          <a:lstStyle/>
          <a:p>
            <a:pPr>
              <a:defRPr sz="2160" b="0" i="0" u="none" strike="noStrike" kern="1200" spc="0" baseline="0">
                <a:solidFill>
                  <a:schemeClr val="bg1"/>
                </a:solidFill>
                <a:latin typeface="Bahnschrift Light" panose="020B0502040204020203" pitchFamily="34" charset="0"/>
                <a:ea typeface="+mn-ea"/>
                <a:cs typeface="+mn-cs"/>
              </a:defRPr>
            </a:pPr>
            <a:r>
              <a:rPr lang="en-US"/>
              <a:t>Number of Smartphone Shipments by Vendors </a:t>
            </a:r>
          </a:p>
          <a:p>
            <a:pPr>
              <a:defRPr/>
            </a:pPr>
            <a:r>
              <a:rPr lang="en-US"/>
              <a:t>(in Million)</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Bahnschrift Ligh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'Shipments-Pivot'!$B$3</c:f>
              <c:strCache>
                <c:ptCount val="1"/>
                <c:pt idx="0">
                  <c:v> Samsung</c:v>
                </c:pt>
              </c:strCache>
            </c:strRef>
          </c:tx>
          <c:spPr>
            <a:solidFill>
              <a:schemeClr val="accent1"/>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'Shipments-Pivot'!$B$4:$B$14</c:f>
              <c:numCache>
                <c:formatCode>General</c:formatCode>
                <c:ptCount val="10"/>
                <c:pt idx="0">
                  <c:v>2000000</c:v>
                </c:pt>
                <c:pt idx="1">
                  <c:v>1700000</c:v>
                </c:pt>
                <c:pt idx="2">
                  <c:v>1500000</c:v>
                </c:pt>
                <c:pt idx="3">
                  <c:v>1900000</c:v>
                </c:pt>
                <c:pt idx="4">
                  <c:v>2100000</c:v>
                </c:pt>
                <c:pt idx="5">
                  <c:v>1900000</c:v>
                </c:pt>
                <c:pt idx="6">
                  <c:v>1800000</c:v>
                </c:pt>
                <c:pt idx="7">
                  <c:v>1800000</c:v>
                </c:pt>
                <c:pt idx="8">
                  <c:v>1900000</c:v>
                </c:pt>
                <c:pt idx="9">
                  <c:v>1900000</c:v>
                </c:pt>
              </c:numCache>
            </c:numRef>
          </c:val>
          <c:extLst>
            <c:ext xmlns:c16="http://schemas.microsoft.com/office/drawing/2014/chart" uri="{C3380CC4-5D6E-409C-BE32-E72D297353CC}">
              <c16:uniqueId val="{00000000-207A-4E3B-AC50-18BE478504F1}"/>
            </c:ext>
          </c:extLst>
        </c:ser>
        <c:ser>
          <c:idx val="1"/>
          <c:order val="1"/>
          <c:tx>
            <c:strRef>
              <c:f>'Shipments-Pivot'!$C$3</c:f>
              <c:strCache>
                <c:ptCount val="1"/>
                <c:pt idx="0">
                  <c:v> OPPO</c:v>
                </c:pt>
              </c:strCache>
            </c:strRef>
          </c:tx>
          <c:spPr>
            <a:solidFill>
              <a:schemeClr val="accent2"/>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'Shipments-Pivot'!$C$4:$C$14</c:f>
              <c:numCache>
                <c:formatCode>General</c:formatCode>
                <c:ptCount val="10"/>
                <c:pt idx="0">
                  <c:v>2500000</c:v>
                </c:pt>
                <c:pt idx="1">
                  <c:v>2000000</c:v>
                </c:pt>
                <c:pt idx="2">
                  <c:v>2000000</c:v>
                </c:pt>
                <c:pt idx="3">
                  <c:v>2100000</c:v>
                </c:pt>
                <c:pt idx="4">
                  <c:v>1800000</c:v>
                </c:pt>
                <c:pt idx="5">
                  <c:v>2000000</c:v>
                </c:pt>
                <c:pt idx="6">
                  <c:v>1900000</c:v>
                </c:pt>
                <c:pt idx="7">
                  <c:v>2200000</c:v>
                </c:pt>
                <c:pt idx="8">
                  <c:v>1800000</c:v>
                </c:pt>
                <c:pt idx="9">
                  <c:v>1600000</c:v>
                </c:pt>
              </c:numCache>
            </c:numRef>
          </c:val>
          <c:extLst>
            <c:ext xmlns:c16="http://schemas.microsoft.com/office/drawing/2014/chart" uri="{C3380CC4-5D6E-409C-BE32-E72D297353CC}">
              <c16:uniqueId val="{00000001-207A-4E3B-AC50-18BE478504F1}"/>
            </c:ext>
          </c:extLst>
        </c:ser>
        <c:ser>
          <c:idx val="2"/>
          <c:order val="2"/>
          <c:tx>
            <c:strRef>
              <c:f>'Shipments-Pivot'!$D$3</c:f>
              <c:strCache>
                <c:ptCount val="1"/>
                <c:pt idx="0">
                  <c:v> Vivo</c:v>
                </c:pt>
              </c:strCache>
            </c:strRef>
          </c:tx>
          <c:spPr>
            <a:solidFill>
              <a:schemeClr val="accent3"/>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'Shipments-Pivot'!$D$4:$D$14</c:f>
              <c:numCache>
                <c:formatCode>General</c:formatCode>
                <c:ptCount val="10"/>
                <c:pt idx="0">
                  <c:v>1700000</c:v>
                </c:pt>
                <c:pt idx="1">
                  <c:v>1800000</c:v>
                </c:pt>
                <c:pt idx="2">
                  <c:v>1900000</c:v>
                </c:pt>
                <c:pt idx="3">
                  <c:v>2000000</c:v>
                </c:pt>
                <c:pt idx="4">
                  <c:v>1500000</c:v>
                </c:pt>
                <c:pt idx="5">
                  <c:v>1700000</c:v>
                </c:pt>
                <c:pt idx="6">
                  <c:v>1500000</c:v>
                </c:pt>
                <c:pt idx="7">
                  <c:v>1500000</c:v>
                </c:pt>
                <c:pt idx="8">
                  <c:v>1300000</c:v>
                </c:pt>
                <c:pt idx="9">
                  <c:v>1500000</c:v>
                </c:pt>
              </c:numCache>
            </c:numRef>
          </c:val>
          <c:extLst>
            <c:ext xmlns:c16="http://schemas.microsoft.com/office/drawing/2014/chart" uri="{C3380CC4-5D6E-409C-BE32-E72D297353CC}">
              <c16:uniqueId val="{00000002-207A-4E3B-AC50-18BE478504F1}"/>
            </c:ext>
          </c:extLst>
        </c:ser>
        <c:ser>
          <c:idx val="3"/>
          <c:order val="3"/>
          <c:tx>
            <c:strRef>
              <c:f>'Shipments-Pivot'!$E$3</c:f>
              <c:strCache>
                <c:ptCount val="1"/>
                <c:pt idx="0">
                  <c:v> Xiaomi</c:v>
                </c:pt>
              </c:strCache>
            </c:strRef>
          </c:tx>
          <c:spPr>
            <a:solidFill>
              <a:schemeClr val="accent4"/>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'Shipments-Pivot'!$E$4:$E$14</c:f>
              <c:numCache>
                <c:formatCode>General</c:formatCode>
                <c:ptCount val="10"/>
                <c:pt idx="0">
                  <c:v>2200000</c:v>
                </c:pt>
                <c:pt idx="1">
                  <c:v>2800000</c:v>
                </c:pt>
                <c:pt idx="2">
                  <c:v>1600000</c:v>
                </c:pt>
                <c:pt idx="3">
                  <c:v>1600000</c:v>
                </c:pt>
                <c:pt idx="4">
                  <c:v>1300000</c:v>
                </c:pt>
                <c:pt idx="5">
                  <c:v>1500000</c:v>
                </c:pt>
                <c:pt idx="6">
                  <c:v>1100000</c:v>
                </c:pt>
                <c:pt idx="7">
                  <c:v>1100000</c:v>
                </c:pt>
                <c:pt idx="8">
                  <c:v>1100000</c:v>
                </c:pt>
                <c:pt idx="9">
                  <c:v>1300000</c:v>
                </c:pt>
              </c:numCache>
            </c:numRef>
          </c:val>
          <c:extLst>
            <c:ext xmlns:c16="http://schemas.microsoft.com/office/drawing/2014/chart" uri="{C3380CC4-5D6E-409C-BE32-E72D297353CC}">
              <c16:uniqueId val="{00000003-207A-4E3B-AC50-18BE478504F1}"/>
            </c:ext>
          </c:extLst>
        </c:ser>
        <c:ser>
          <c:idx val="4"/>
          <c:order val="4"/>
          <c:tx>
            <c:strRef>
              <c:f>'Shipments-Pivot'!$F$3</c:f>
              <c:strCache>
                <c:ptCount val="1"/>
                <c:pt idx="0">
                  <c:v> Transsion</c:v>
                </c:pt>
              </c:strCache>
            </c:strRef>
          </c:tx>
          <c:spPr>
            <a:solidFill>
              <a:schemeClr val="accent5"/>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'Shipments-Pivot'!$F$4:$F$14</c:f>
              <c:numCache>
                <c:formatCode>General</c:formatCode>
                <c:ptCount val="10"/>
                <c:pt idx="0">
                  <c:v>#N/A</c:v>
                </c:pt>
                <c:pt idx="1">
                  <c:v>#N/A</c:v>
                </c:pt>
                <c:pt idx="2">
                  <c:v>#N/A</c:v>
                </c:pt>
                <c:pt idx="3">
                  <c:v>#N/A</c:v>
                </c:pt>
                <c:pt idx="4">
                  <c:v>#N/A</c:v>
                </c:pt>
                <c:pt idx="5">
                  <c:v>1100000</c:v>
                </c:pt>
                <c:pt idx="6">
                  <c:v>#N/A</c:v>
                </c:pt>
                <c:pt idx="7">
                  <c:v>#N/A</c:v>
                </c:pt>
                <c:pt idx="8">
                  <c:v>#N/A</c:v>
                </c:pt>
                <c:pt idx="9">
                  <c:v>1200000</c:v>
                </c:pt>
              </c:numCache>
            </c:numRef>
          </c:val>
          <c:extLst>
            <c:ext xmlns:c16="http://schemas.microsoft.com/office/drawing/2014/chart" uri="{C3380CC4-5D6E-409C-BE32-E72D297353CC}">
              <c16:uniqueId val="{00000004-207A-4E3B-AC50-18BE478504F1}"/>
            </c:ext>
          </c:extLst>
        </c:ser>
        <c:ser>
          <c:idx val="5"/>
          <c:order val="5"/>
          <c:tx>
            <c:strRef>
              <c:f>'Shipments-Pivot'!$G$3</c:f>
              <c:strCache>
                <c:ptCount val="1"/>
                <c:pt idx="0">
                  <c:v> Realme</c:v>
                </c:pt>
              </c:strCache>
            </c:strRef>
          </c:tx>
          <c:spPr>
            <a:solidFill>
              <a:schemeClr val="accent6"/>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'Shipments-Pivot'!$G$4:$G$14</c:f>
              <c:numCache>
                <c:formatCode>General</c:formatCode>
                <c:ptCount val="10"/>
                <c:pt idx="0">
                  <c:v>1300000</c:v>
                </c:pt>
                <c:pt idx="1">
                  <c:v>1200000</c:v>
                </c:pt>
                <c:pt idx="2">
                  <c:v>1200000</c:v>
                </c:pt>
                <c:pt idx="3">
                  <c:v>1400000</c:v>
                </c:pt>
                <c:pt idx="4">
                  <c:v>1100000</c:v>
                </c:pt>
                <c:pt idx="5">
                  <c:v>1200000</c:v>
                </c:pt>
                <c:pt idx="6">
                  <c:v>900000</c:v>
                </c:pt>
                <c:pt idx="7">
                  <c:v>1000000</c:v>
                </c:pt>
                <c:pt idx="8">
                  <c:v>800000</c:v>
                </c:pt>
                <c:pt idx="9">
                  <c:v>#N/A</c:v>
                </c:pt>
              </c:numCache>
            </c:numRef>
          </c:val>
          <c:extLst>
            <c:ext xmlns:c16="http://schemas.microsoft.com/office/drawing/2014/chart" uri="{C3380CC4-5D6E-409C-BE32-E72D297353CC}">
              <c16:uniqueId val="{00000005-207A-4E3B-AC50-18BE478504F1}"/>
            </c:ext>
          </c:extLst>
        </c:ser>
        <c:ser>
          <c:idx val="6"/>
          <c:order val="6"/>
          <c:tx>
            <c:strRef>
              <c:f>'Shipments-Pivot'!$H$3</c:f>
              <c:strCache>
                <c:ptCount val="1"/>
                <c:pt idx="0">
                  <c:v> Others</c:v>
                </c:pt>
              </c:strCache>
            </c:strRef>
          </c:tx>
          <c:spPr>
            <a:solidFill>
              <a:schemeClr val="bg2">
                <a:lumMod val="75000"/>
              </a:schemeClr>
            </a:solidFill>
            <a:ln>
              <a:noFill/>
            </a:ln>
            <a:effectLst/>
          </c:spPr>
          <c:invertIfNegative val="0"/>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'Shipments-Pivot'!$H$4:$H$14</c:f>
              <c:numCache>
                <c:formatCode>General</c:formatCode>
                <c:ptCount val="10"/>
                <c:pt idx="0">
                  <c:v>1100000</c:v>
                </c:pt>
                <c:pt idx="1">
                  <c:v>1100000</c:v>
                </c:pt>
                <c:pt idx="2">
                  <c:v>1100000</c:v>
                </c:pt>
                <c:pt idx="3">
                  <c:v>1300000</c:v>
                </c:pt>
                <c:pt idx="4">
                  <c:v>1100000</c:v>
                </c:pt>
                <c:pt idx="5">
                  <c:v>1400000</c:v>
                </c:pt>
                <c:pt idx="6">
                  <c:v>1000000</c:v>
                </c:pt>
                <c:pt idx="7">
                  <c:v>800000</c:v>
                </c:pt>
                <c:pt idx="8">
                  <c:v>900000</c:v>
                </c:pt>
                <c:pt idx="9">
                  <c:v>1500000</c:v>
                </c:pt>
              </c:numCache>
            </c:numRef>
          </c:val>
          <c:extLst>
            <c:ext xmlns:c16="http://schemas.microsoft.com/office/drawing/2014/chart" uri="{C3380CC4-5D6E-409C-BE32-E72D297353CC}">
              <c16:uniqueId val="{00000006-207A-4E3B-AC50-18BE478504F1}"/>
            </c:ext>
          </c:extLst>
        </c:ser>
        <c:dLbls>
          <c:showLegendKey val="0"/>
          <c:showVal val="0"/>
          <c:showCatName val="0"/>
          <c:showSerName val="0"/>
          <c:showPercent val="0"/>
          <c:showBubbleSize val="0"/>
        </c:dLbls>
        <c:gapWidth val="150"/>
        <c:overlap val="100"/>
        <c:axId val="1154027400"/>
        <c:axId val="1154025960"/>
      </c:barChart>
      <c:catAx>
        <c:axId val="115402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crossAx val="1154025960"/>
        <c:crosses val="autoZero"/>
        <c:auto val="1"/>
        <c:lblAlgn val="ctr"/>
        <c:lblOffset val="100"/>
        <c:noMultiLvlLbl val="0"/>
      </c:catAx>
      <c:valAx>
        <c:axId val="1154025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crossAx val="1154027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800">
          <a:solidFill>
            <a:schemeClr val="bg1"/>
          </a:solidFill>
          <a:latin typeface="Bahnschrift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[Smartphone-Sales-in-Indonesia.xlsx]Shipments-Pivot!PivotTable11</c:name>
    <c:fmtId val="5"/>
  </c:pivotSource>
  <c:chart>
    <c:title>
      <c:tx>
        <c:rich>
          <a:bodyPr rot="0" spcFirstLastPara="1" vertOverflow="ellipsis" vert="horz" wrap="square" anchor="ctr" anchorCtr="1"/>
          <a:lstStyle/>
          <a:p>
            <a:pPr>
              <a:defRPr sz="2160" b="0" i="0" u="none" strike="noStrike" kern="1200" spc="0" baseline="0">
                <a:solidFill>
                  <a:schemeClr val="bg1"/>
                </a:solidFill>
                <a:latin typeface="Bahnschrift Light" panose="020B0502040204020203" pitchFamily="34" charset="0"/>
                <a:ea typeface="+mn-ea"/>
                <a:cs typeface="+mn-cs"/>
              </a:defRPr>
            </a:pPr>
            <a:r>
              <a:rPr lang="en-US"/>
              <a:t>Number of Smartphone Shipments by Vendors </a:t>
            </a:r>
          </a:p>
          <a:p>
            <a:pPr>
              <a:defRPr/>
            </a:pPr>
            <a:r>
              <a:rPr lang="en-US"/>
              <a:t>(in Million)</a:t>
            </a:r>
          </a:p>
        </c:rich>
      </c:tx>
      <c:layout>
        <c:manualLayout>
          <c:xMode val="edge"/>
          <c:yMode val="edge"/>
          <c:x val="0.19136390565596073"/>
          <c:y val="5.5761061655488844E-3"/>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Bahnschrift Ligh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'Shipments-Pivot'!$B$3</c:f>
              <c:strCache>
                <c:ptCount val="1"/>
                <c:pt idx="0">
                  <c:v> Samsung</c:v>
                </c:pt>
              </c:strCache>
            </c:strRef>
          </c:tx>
          <c:spPr>
            <a:ln w="28575" cap="rnd">
              <a:solidFill>
                <a:schemeClr val="accent1"/>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'Shipments-Pivot'!$B$4:$B$14</c:f>
              <c:numCache>
                <c:formatCode>General</c:formatCode>
                <c:ptCount val="10"/>
                <c:pt idx="0">
                  <c:v>2000000</c:v>
                </c:pt>
                <c:pt idx="1">
                  <c:v>1700000</c:v>
                </c:pt>
                <c:pt idx="2">
                  <c:v>1500000</c:v>
                </c:pt>
                <c:pt idx="3">
                  <c:v>1900000</c:v>
                </c:pt>
                <c:pt idx="4">
                  <c:v>2100000</c:v>
                </c:pt>
                <c:pt idx="5">
                  <c:v>1900000</c:v>
                </c:pt>
                <c:pt idx="6">
                  <c:v>1800000</c:v>
                </c:pt>
                <c:pt idx="7">
                  <c:v>1800000</c:v>
                </c:pt>
                <c:pt idx="8">
                  <c:v>1900000</c:v>
                </c:pt>
                <c:pt idx="9">
                  <c:v>1900000</c:v>
                </c:pt>
              </c:numCache>
            </c:numRef>
          </c:val>
          <c:smooth val="0"/>
          <c:extLst>
            <c:ext xmlns:c16="http://schemas.microsoft.com/office/drawing/2014/chart" uri="{C3380CC4-5D6E-409C-BE32-E72D297353CC}">
              <c16:uniqueId val="{00000000-34DD-466A-90A2-E421387FB4D8}"/>
            </c:ext>
          </c:extLst>
        </c:ser>
        <c:ser>
          <c:idx val="1"/>
          <c:order val="1"/>
          <c:tx>
            <c:strRef>
              <c:f>'Shipments-Pivot'!$C$3</c:f>
              <c:strCache>
                <c:ptCount val="1"/>
                <c:pt idx="0">
                  <c:v> OPPO</c:v>
                </c:pt>
              </c:strCache>
            </c:strRef>
          </c:tx>
          <c:spPr>
            <a:ln w="28575" cap="rnd">
              <a:solidFill>
                <a:schemeClr val="accent2"/>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'Shipments-Pivot'!$C$4:$C$14</c:f>
              <c:numCache>
                <c:formatCode>General</c:formatCode>
                <c:ptCount val="10"/>
                <c:pt idx="0">
                  <c:v>2500000</c:v>
                </c:pt>
                <c:pt idx="1">
                  <c:v>2000000</c:v>
                </c:pt>
                <c:pt idx="2">
                  <c:v>2000000</c:v>
                </c:pt>
                <c:pt idx="3">
                  <c:v>2100000</c:v>
                </c:pt>
                <c:pt idx="4">
                  <c:v>1800000</c:v>
                </c:pt>
                <c:pt idx="5">
                  <c:v>2000000</c:v>
                </c:pt>
                <c:pt idx="6">
                  <c:v>1900000</c:v>
                </c:pt>
                <c:pt idx="7">
                  <c:v>2200000</c:v>
                </c:pt>
                <c:pt idx="8">
                  <c:v>1800000</c:v>
                </c:pt>
                <c:pt idx="9">
                  <c:v>1600000</c:v>
                </c:pt>
              </c:numCache>
            </c:numRef>
          </c:val>
          <c:smooth val="0"/>
          <c:extLst>
            <c:ext xmlns:c16="http://schemas.microsoft.com/office/drawing/2014/chart" uri="{C3380CC4-5D6E-409C-BE32-E72D297353CC}">
              <c16:uniqueId val="{00000001-34DD-466A-90A2-E421387FB4D8}"/>
            </c:ext>
          </c:extLst>
        </c:ser>
        <c:ser>
          <c:idx val="2"/>
          <c:order val="2"/>
          <c:tx>
            <c:strRef>
              <c:f>'Shipments-Pivot'!$D$3</c:f>
              <c:strCache>
                <c:ptCount val="1"/>
                <c:pt idx="0">
                  <c:v> Vivo</c:v>
                </c:pt>
              </c:strCache>
            </c:strRef>
          </c:tx>
          <c:spPr>
            <a:ln w="28575" cap="rnd">
              <a:solidFill>
                <a:schemeClr val="accent3"/>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'Shipments-Pivot'!$D$4:$D$14</c:f>
              <c:numCache>
                <c:formatCode>General</c:formatCode>
                <c:ptCount val="10"/>
                <c:pt idx="0">
                  <c:v>1700000</c:v>
                </c:pt>
                <c:pt idx="1">
                  <c:v>1800000</c:v>
                </c:pt>
                <c:pt idx="2">
                  <c:v>1900000</c:v>
                </c:pt>
                <c:pt idx="3">
                  <c:v>2000000</c:v>
                </c:pt>
                <c:pt idx="4">
                  <c:v>1500000</c:v>
                </c:pt>
                <c:pt idx="5">
                  <c:v>1700000</c:v>
                </c:pt>
                <c:pt idx="6">
                  <c:v>1500000</c:v>
                </c:pt>
                <c:pt idx="7">
                  <c:v>1500000</c:v>
                </c:pt>
                <c:pt idx="8">
                  <c:v>1300000</c:v>
                </c:pt>
                <c:pt idx="9">
                  <c:v>1500000</c:v>
                </c:pt>
              </c:numCache>
            </c:numRef>
          </c:val>
          <c:smooth val="0"/>
          <c:extLst>
            <c:ext xmlns:c16="http://schemas.microsoft.com/office/drawing/2014/chart" uri="{C3380CC4-5D6E-409C-BE32-E72D297353CC}">
              <c16:uniqueId val="{00000002-34DD-466A-90A2-E421387FB4D8}"/>
            </c:ext>
          </c:extLst>
        </c:ser>
        <c:ser>
          <c:idx val="3"/>
          <c:order val="3"/>
          <c:tx>
            <c:strRef>
              <c:f>'Shipments-Pivot'!$E$3</c:f>
              <c:strCache>
                <c:ptCount val="1"/>
                <c:pt idx="0">
                  <c:v> Xiaomi</c:v>
                </c:pt>
              </c:strCache>
            </c:strRef>
          </c:tx>
          <c:spPr>
            <a:ln w="28575" cap="rnd">
              <a:solidFill>
                <a:schemeClr val="accent4"/>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'Shipments-Pivot'!$E$4:$E$14</c:f>
              <c:numCache>
                <c:formatCode>General</c:formatCode>
                <c:ptCount val="10"/>
                <c:pt idx="0">
                  <c:v>2200000</c:v>
                </c:pt>
                <c:pt idx="1">
                  <c:v>2800000</c:v>
                </c:pt>
                <c:pt idx="2">
                  <c:v>1600000</c:v>
                </c:pt>
                <c:pt idx="3">
                  <c:v>1600000</c:v>
                </c:pt>
                <c:pt idx="4">
                  <c:v>1300000</c:v>
                </c:pt>
                <c:pt idx="5">
                  <c:v>1500000</c:v>
                </c:pt>
                <c:pt idx="6">
                  <c:v>1100000</c:v>
                </c:pt>
                <c:pt idx="7">
                  <c:v>1100000</c:v>
                </c:pt>
                <c:pt idx="8">
                  <c:v>1100000</c:v>
                </c:pt>
                <c:pt idx="9">
                  <c:v>1300000</c:v>
                </c:pt>
              </c:numCache>
            </c:numRef>
          </c:val>
          <c:smooth val="0"/>
          <c:extLst>
            <c:ext xmlns:c16="http://schemas.microsoft.com/office/drawing/2014/chart" uri="{C3380CC4-5D6E-409C-BE32-E72D297353CC}">
              <c16:uniqueId val="{00000003-34DD-466A-90A2-E421387FB4D8}"/>
            </c:ext>
          </c:extLst>
        </c:ser>
        <c:ser>
          <c:idx val="4"/>
          <c:order val="4"/>
          <c:tx>
            <c:strRef>
              <c:f>'Shipments-Pivot'!$F$3</c:f>
              <c:strCache>
                <c:ptCount val="1"/>
                <c:pt idx="0">
                  <c:v> Transsion</c:v>
                </c:pt>
              </c:strCache>
            </c:strRef>
          </c:tx>
          <c:spPr>
            <a:ln w="28575" cap="rnd">
              <a:solidFill>
                <a:schemeClr val="accent5"/>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'Shipments-Pivot'!$F$4:$F$14</c:f>
              <c:numCache>
                <c:formatCode>General</c:formatCode>
                <c:ptCount val="10"/>
                <c:pt idx="0">
                  <c:v>#N/A</c:v>
                </c:pt>
                <c:pt idx="1">
                  <c:v>#N/A</c:v>
                </c:pt>
                <c:pt idx="2">
                  <c:v>#N/A</c:v>
                </c:pt>
                <c:pt idx="3">
                  <c:v>#N/A</c:v>
                </c:pt>
                <c:pt idx="4">
                  <c:v>#N/A</c:v>
                </c:pt>
                <c:pt idx="5">
                  <c:v>1100000</c:v>
                </c:pt>
                <c:pt idx="6">
                  <c:v>#N/A</c:v>
                </c:pt>
                <c:pt idx="7">
                  <c:v>#N/A</c:v>
                </c:pt>
                <c:pt idx="8">
                  <c:v>#N/A</c:v>
                </c:pt>
                <c:pt idx="9">
                  <c:v>1200000</c:v>
                </c:pt>
              </c:numCache>
            </c:numRef>
          </c:val>
          <c:smooth val="0"/>
          <c:extLst>
            <c:ext xmlns:c16="http://schemas.microsoft.com/office/drawing/2014/chart" uri="{C3380CC4-5D6E-409C-BE32-E72D297353CC}">
              <c16:uniqueId val="{00000004-34DD-466A-90A2-E421387FB4D8}"/>
            </c:ext>
          </c:extLst>
        </c:ser>
        <c:ser>
          <c:idx val="5"/>
          <c:order val="5"/>
          <c:tx>
            <c:strRef>
              <c:f>'Shipments-Pivot'!$G$3</c:f>
              <c:strCache>
                <c:ptCount val="1"/>
                <c:pt idx="0">
                  <c:v> Realme</c:v>
                </c:pt>
              </c:strCache>
            </c:strRef>
          </c:tx>
          <c:spPr>
            <a:ln w="28575" cap="rnd">
              <a:solidFill>
                <a:schemeClr val="accent6"/>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'Shipments-Pivot'!$G$4:$G$14</c:f>
              <c:numCache>
                <c:formatCode>General</c:formatCode>
                <c:ptCount val="10"/>
                <c:pt idx="0">
                  <c:v>1300000</c:v>
                </c:pt>
                <c:pt idx="1">
                  <c:v>1200000</c:v>
                </c:pt>
                <c:pt idx="2">
                  <c:v>1200000</c:v>
                </c:pt>
                <c:pt idx="3">
                  <c:v>1400000</c:v>
                </c:pt>
                <c:pt idx="4">
                  <c:v>1100000</c:v>
                </c:pt>
                <c:pt idx="5">
                  <c:v>1200000</c:v>
                </c:pt>
                <c:pt idx="6">
                  <c:v>900000</c:v>
                </c:pt>
                <c:pt idx="7">
                  <c:v>1000000</c:v>
                </c:pt>
                <c:pt idx="8">
                  <c:v>800000</c:v>
                </c:pt>
                <c:pt idx="9">
                  <c:v>#N/A</c:v>
                </c:pt>
              </c:numCache>
            </c:numRef>
          </c:val>
          <c:smooth val="0"/>
          <c:extLst>
            <c:ext xmlns:c16="http://schemas.microsoft.com/office/drawing/2014/chart" uri="{C3380CC4-5D6E-409C-BE32-E72D297353CC}">
              <c16:uniqueId val="{00000005-34DD-466A-90A2-E421387FB4D8}"/>
            </c:ext>
          </c:extLst>
        </c:ser>
        <c:ser>
          <c:idx val="6"/>
          <c:order val="6"/>
          <c:tx>
            <c:strRef>
              <c:f>'Shipments-Pivot'!$H$3</c:f>
              <c:strCache>
                <c:ptCount val="1"/>
                <c:pt idx="0">
                  <c:v> Others</c:v>
                </c:pt>
              </c:strCache>
            </c:strRef>
          </c:tx>
          <c:spPr>
            <a:ln w="28575" cap="rnd">
              <a:solidFill>
                <a:schemeClr val="accent1">
                  <a:lumMod val="60000"/>
                </a:schemeClr>
              </a:solidFill>
              <a:round/>
            </a:ln>
            <a:effectLst/>
          </c:spPr>
          <c:marker>
            <c:symbol val="none"/>
          </c:marker>
          <c:cat>
            <c:strRef>
              <c:f>'Shipments-Pivot'!$A$4:$A$14</c:f>
              <c:strCache>
                <c:ptCount val="10"/>
                <c:pt idx="0">
                  <c:v>1Q21</c:v>
                </c:pt>
                <c:pt idx="1">
                  <c:v>2Q21</c:v>
                </c:pt>
                <c:pt idx="2">
                  <c:v>3Q21</c:v>
                </c:pt>
                <c:pt idx="3">
                  <c:v>4Q21</c:v>
                </c:pt>
                <c:pt idx="4">
                  <c:v>1Q22</c:v>
                </c:pt>
                <c:pt idx="5">
                  <c:v>2Q22</c:v>
                </c:pt>
                <c:pt idx="6">
                  <c:v>3Q22</c:v>
                </c:pt>
                <c:pt idx="7">
                  <c:v>4Q22</c:v>
                </c:pt>
                <c:pt idx="8">
                  <c:v>1Q23</c:v>
                </c:pt>
                <c:pt idx="9">
                  <c:v>2Q23</c:v>
                </c:pt>
              </c:strCache>
            </c:strRef>
          </c:cat>
          <c:val>
            <c:numRef>
              <c:f>'Shipments-Pivot'!$H$4:$H$14</c:f>
              <c:numCache>
                <c:formatCode>General</c:formatCode>
                <c:ptCount val="10"/>
                <c:pt idx="0">
                  <c:v>1100000</c:v>
                </c:pt>
                <c:pt idx="1">
                  <c:v>1100000</c:v>
                </c:pt>
                <c:pt idx="2">
                  <c:v>1100000</c:v>
                </c:pt>
                <c:pt idx="3">
                  <c:v>1300000</c:v>
                </c:pt>
                <c:pt idx="4">
                  <c:v>1100000</c:v>
                </c:pt>
                <c:pt idx="5">
                  <c:v>1400000</c:v>
                </c:pt>
                <c:pt idx="6">
                  <c:v>1000000</c:v>
                </c:pt>
                <c:pt idx="7">
                  <c:v>800000</c:v>
                </c:pt>
                <c:pt idx="8">
                  <c:v>900000</c:v>
                </c:pt>
                <c:pt idx="9">
                  <c:v>1500000</c:v>
                </c:pt>
              </c:numCache>
            </c:numRef>
          </c:val>
          <c:smooth val="0"/>
          <c:extLst>
            <c:ext xmlns:c16="http://schemas.microsoft.com/office/drawing/2014/chart" uri="{C3380CC4-5D6E-409C-BE32-E72D297353CC}">
              <c16:uniqueId val="{00000006-34DD-466A-90A2-E421387FB4D8}"/>
            </c:ext>
          </c:extLst>
        </c:ser>
        <c:dLbls>
          <c:showLegendKey val="0"/>
          <c:showVal val="0"/>
          <c:showCatName val="0"/>
          <c:showSerName val="0"/>
          <c:showPercent val="0"/>
          <c:showBubbleSize val="0"/>
        </c:dLbls>
        <c:smooth val="0"/>
        <c:axId val="1154042160"/>
        <c:axId val="1154038920"/>
      </c:lineChart>
      <c:catAx>
        <c:axId val="115404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crossAx val="1154038920"/>
        <c:crosses val="autoZero"/>
        <c:auto val="1"/>
        <c:lblAlgn val="ctr"/>
        <c:lblOffset val="100"/>
        <c:noMultiLvlLbl val="0"/>
      </c:catAx>
      <c:valAx>
        <c:axId val="1154038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crossAx val="11540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Bahnschrift Ligh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800">
          <a:solidFill>
            <a:schemeClr val="bg1"/>
          </a:solidFill>
          <a:latin typeface="Bahnschrift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[Smartphone-Sales-in-Indonesia.xlsx]Market-Share-Pivot!PivotTable4</c:name>
    <c:fmtId val="2"/>
  </c:pivotSource>
  <c:chart>
    <c:title>
      <c:overlay val="0"/>
      <c:spPr>
        <a:noFill/>
        <a:ln>
          <a:noFill/>
        </a:ln>
        <a:effectLst/>
      </c:spPr>
      <c:txPr>
        <a:bodyPr rot="0" spcFirstLastPara="1" vertOverflow="ellipsis" vert="horz" wrap="square" anchor="ctr" anchorCtr="1"/>
        <a:lstStyle/>
        <a:p>
          <a:pPr>
            <a:defRPr sz="2880" b="1" i="0" u="none" strike="noStrike" kern="1200" baseline="0">
              <a:solidFill>
                <a:schemeClr val="bg1"/>
              </a:solidFill>
              <a:latin typeface="Bahnschrift Ligh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bg2">
              <a:lumMod val="75000"/>
            </a:schemeClr>
          </a:solidFill>
          <a:ln>
            <a:noFill/>
          </a:ln>
          <a:effectLst>
            <a:outerShdw blurRad="317500" algn="ctr" rotWithShape="0">
              <a:prstClr val="black">
                <a:alpha val="25000"/>
              </a:prstClr>
            </a:outerShdw>
          </a:effectLst>
        </c:spPr>
      </c:pivotFmt>
    </c:pivotFmts>
    <c:plotArea>
      <c:layout/>
      <c:pieChart>
        <c:varyColors val="1"/>
        <c:ser>
          <c:idx val="0"/>
          <c:order val="0"/>
          <c:tx>
            <c:strRef>
              <c:f>'Market-Share-Pivot'!$B$11:$B$12</c:f>
              <c:strCache>
                <c:ptCount val="1"/>
                <c:pt idx="0">
                  <c:v>4Q21</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E9-4D87-A81A-C27F2EABA27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0E9-4D87-A81A-C27F2EABA27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0E9-4D87-A81A-C27F2EABA27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0E9-4D87-A81A-C27F2EABA27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0E9-4D87-A81A-C27F2EABA27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0E9-4D87-A81A-C27F2EABA274}"/>
              </c:ext>
            </c:extLst>
          </c:dPt>
          <c:dPt>
            <c:idx val="6"/>
            <c:bubble3D val="0"/>
            <c:spPr>
              <a:solidFill>
                <a:schemeClr val="bg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20E9-4D87-A81A-C27F2EABA274}"/>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'Market-Share-Pivot'!$A$13:$A$19</c:f>
              <c:strCache>
                <c:ptCount val="7"/>
                <c:pt idx="0">
                  <c:v>Samsung </c:v>
                </c:pt>
                <c:pt idx="1">
                  <c:v>OPPO </c:v>
                </c:pt>
                <c:pt idx="2">
                  <c:v>Vivo </c:v>
                </c:pt>
                <c:pt idx="3">
                  <c:v>Xiaomi </c:v>
                </c:pt>
                <c:pt idx="4">
                  <c:v>Transsion </c:v>
                </c:pt>
                <c:pt idx="5">
                  <c:v>Realme </c:v>
                </c:pt>
                <c:pt idx="6">
                  <c:v>Others </c:v>
                </c:pt>
              </c:strCache>
            </c:strRef>
          </c:cat>
          <c:val>
            <c:numRef>
              <c:f>'Market-Share-Pivot'!$B$13:$B$19</c:f>
              <c:numCache>
                <c:formatCode>0.0%</c:formatCode>
                <c:ptCount val="7"/>
                <c:pt idx="0">
                  <c:v>0.18446601941747573</c:v>
                </c:pt>
                <c:pt idx="1">
                  <c:v>0.20388349514563106</c:v>
                </c:pt>
                <c:pt idx="2">
                  <c:v>0.1941747572815534</c:v>
                </c:pt>
                <c:pt idx="3">
                  <c:v>0.1553398058252427</c:v>
                </c:pt>
                <c:pt idx="4">
                  <c:v>#N/A</c:v>
                </c:pt>
                <c:pt idx="5">
                  <c:v>0.13592233009708737</c:v>
                </c:pt>
                <c:pt idx="6">
                  <c:v>0.12621359223300971</c:v>
                </c:pt>
              </c:numCache>
            </c:numRef>
          </c:val>
          <c:extLst>
            <c:ext xmlns:c16="http://schemas.microsoft.com/office/drawing/2014/chart" uri="{C3380CC4-5D6E-409C-BE32-E72D297353CC}">
              <c16:uniqueId val="{0000000E-20E9-4D87-A81A-C27F2EABA27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Bahnschrift Ligh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[Smartphone-Sales-in-Indonesia.xlsx]Shipments-YoY-Change-Pivot!PivotTable3</c:name>
    <c:fmtId val="5"/>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a:t>Shipments Change YoY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'Shipments-YoY-Change-Pivot'!$B$9</c:f>
              <c:strCache>
                <c:ptCount val="1"/>
                <c:pt idx="0">
                  <c:v> OPPO</c:v>
                </c:pt>
              </c:strCache>
            </c:strRef>
          </c:tx>
          <c:spPr>
            <a:solidFill>
              <a:schemeClr val="accent1"/>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'Shipments-YoY-Change-Pivot'!$B$10:$B$15</c:f>
              <c:numCache>
                <c:formatCode>0.00%</c:formatCode>
                <c:ptCount val="6"/>
                <c:pt idx="0">
                  <c:v>-0.28000000000000003</c:v>
                </c:pt>
                <c:pt idx="1">
                  <c:v>0</c:v>
                </c:pt>
                <c:pt idx="2">
                  <c:v>-0.05</c:v>
                </c:pt>
                <c:pt idx="3">
                  <c:v>4.7619047619047616E-2</c:v>
                </c:pt>
                <c:pt idx="4">
                  <c:v>0</c:v>
                </c:pt>
                <c:pt idx="5">
                  <c:v>-0.2</c:v>
                </c:pt>
              </c:numCache>
            </c:numRef>
          </c:val>
          <c:extLst>
            <c:ext xmlns:c16="http://schemas.microsoft.com/office/drawing/2014/chart" uri="{C3380CC4-5D6E-409C-BE32-E72D297353CC}">
              <c16:uniqueId val="{00000000-02B0-45AA-8EDD-44EBECAE59F5}"/>
            </c:ext>
          </c:extLst>
        </c:ser>
        <c:ser>
          <c:idx val="1"/>
          <c:order val="1"/>
          <c:tx>
            <c:strRef>
              <c:f>'Shipments-YoY-Change-Pivot'!$C$9</c:f>
              <c:strCache>
                <c:ptCount val="1"/>
                <c:pt idx="0">
                  <c:v>Realme</c:v>
                </c:pt>
              </c:strCache>
            </c:strRef>
          </c:tx>
          <c:spPr>
            <a:solidFill>
              <a:schemeClr val="accent2"/>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'Shipments-YoY-Change-Pivot'!$C$10:$C$15</c:f>
              <c:numCache>
                <c:formatCode>0.00%</c:formatCode>
                <c:ptCount val="6"/>
                <c:pt idx="0">
                  <c:v>-0.15384615384615385</c:v>
                </c:pt>
                <c:pt idx="1">
                  <c:v>0</c:v>
                </c:pt>
                <c:pt idx="2">
                  <c:v>-0.25</c:v>
                </c:pt>
                <c:pt idx="3">
                  <c:v>-0.2857142857142857</c:v>
                </c:pt>
                <c:pt idx="4">
                  <c:v>-0.27272727272727271</c:v>
                </c:pt>
                <c:pt idx="5">
                  <c:v>#N/A</c:v>
                </c:pt>
              </c:numCache>
            </c:numRef>
          </c:val>
          <c:extLst>
            <c:ext xmlns:c16="http://schemas.microsoft.com/office/drawing/2014/chart" uri="{C3380CC4-5D6E-409C-BE32-E72D297353CC}">
              <c16:uniqueId val="{00000001-02B0-45AA-8EDD-44EBECAE59F5}"/>
            </c:ext>
          </c:extLst>
        </c:ser>
        <c:ser>
          <c:idx val="2"/>
          <c:order val="2"/>
          <c:tx>
            <c:strRef>
              <c:f>'Shipments-YoY-Change-Pivot'!$D$9</c:f>
              <c:strCache>
                <c:ptCount val="1"/>
                <c:pt idx="0">
                  <c:v>Samsung</c:v>
                </c:pt>
              </c:strCache>
            </c:strRef>
          </c:tx>
          <c:spPr>
            <a:solidFill>
              <a:schemeClr val="accent3"/>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'Shipments-YoY-Change-Pivot'!$D$10:$D$15</c:f>
              <c:numCache>
                <c:formatCode>0.00%</c:formatCode>
                <c:ptCount val="6"/>
                <c:pt idx="0">
                  <c:v>0.05</c:v>
                </c:pt>
                <c:pt idx="1">
                  <c:v>0.11764705882352941</c:v>
                </c:pt>
                <c:pt idx="2">
                  <c:v>0.2</c:v>
                </c:pt>
                <c:pt idx="3">
                  <c:v>-5.2631578947368418E-2</c:v>
                </c:pt>
                <c:pt idx="4">
                  <c:v>-9.5238095238095233E-2</c:v>
                </c:pt>
                <c:pt idx="5">
                  <c:v>0</c:v>
                </c:pt>
              </c:numCache>
            </c:numRef>
          </c:val>
          <c:extLst>
            <c:ext xmlns:c16="http://schemas.microsoft.com/office/drawing/2014/chart" uri="{C3380CC4-5D6E-409C-BE32-E72D297353CC}">
              <c16:uniqueId val="{00000002-02B0-45AA-8EDD-44EBECAE59F5}"/>
            </c:ext>
          </c:extLst>
        </c:ser>
        <c:ser>
          <c:idx val="3"/>
          <c:order val="3"/>
          <c:tx>
            <c:strRef>
              <c:f>'Shipments-YoY-Change-Pivot'!$E$9</c:f>
              <c:strCache>
                <c:ptCount val="1"/>
                <c:pt idx="0">
                  <c:v>Transsion</c:v>
                </c:pt>
              </c:strCache>
            </c:strRef>
          </c:tx>
          <c:spPr>
            <a:solidFill>
              <a:schemeClr val="accent4"/>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'Shipments-YoY-Change-Pivot'!$E$10:$E$15</c:f>
              <c:numCache>
                <c:formatCode>0.00%</c:formatCode>
                <c:ptCount val="6"/>
                <c:pt idx="0">
                  <c:v>#N/A</c:v>
                </c:pt>
                <c:pt idx="1">
                  <c:v>#N/A</c:v>
                </c:pt>
                <c:pt idx="2">
                  <c:v>#N/A</c:v>
                </c:pt>
                <c:pt idx="3">
                  <c:v>#N/A</c:v>
                </c:pt>
                <c:pt idx="4">
                  <c:v>#N/A</c:v>
                </c:pt>
                <c:pt idx="5">
                  <c:v>9.0909090909090912E-2</c:v>
                </c:pt>
              </c:numCache>
            </c:numRef>
          </c:val>
          <c:extLst>
            <c:ext xmlns:c16="http://schemas.microsoft.com/office/drawing/2014/chart" uri="{C3380CC4-5D6E-409C-BE32-E72D297353CC}">
              <c16:uniqueId val="{00000003-02B0-45AA-8EDD-44EBECAE59F5}"/>
            </c:ext>
          </c:extLst>
        </c:ser>
        <c:ser>
          <c:idx val="4"/>
          <c:order val="4"/>
          <c:tx>
            <c:strRef>
              <c:f>'Shipments-YoY-Change-Pivot'!$F$9</c:f>
              <c:strCache>
                <c:ptCount val="1"/>
                <c:pt idx="0">
                  <c:v>Vivo</c:v>
                </c:pt>
              </c:strCache>
            </c:strRef>
          </c:tx>
          <c:spPr>
            <a:solidFill>
              <a:schemeClr val="accent5"/>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'Shipments-YoY-Change-Pivot'!$F$10:$F$15</c:f>
              <c:numCache>
                <c:formatCode>0.00%</c:formatCode>
                <c:ptCount val="6"/>
                <c:pt idx="0">
                  <c:v>-0.11764705882352941</c:v>
                </c:pt>
                <c:pt idx="1">
                  <c:v>-5.5555555555555552E-2</c:v>
                </c:pt>
                <c:pt idx="2">
                  <c:v>-0.21052631578947367</c:v>
                </c:pt>
                <c:pt idx="3">
                  <c:v>-0.25</c:v>
                </c:pt>
                <c:pt idx="4">
                  <c:v>-0.13333333333333333</c:v>
                </c:pt>
                <c:pt idx="5">
                  <c:v>-0.11764705882352941</c:v>
                </c:pt>
              </c:numCache>
            </c:numRef>
          </c:val>
          <c:extLst>
            <c:ext xmlns:c16="http://schemas.microsoft.com/office/drawing/2014/chart" uri="{C3380CC4-5D6E-409C-BE32-E72D297353CC}">
              <c16:uniqueId val="{00000004-02B0-45AA-8EDD-44EBECAE59F5}"/>
            </c:ext>
          </c:extLst>
        </c:ser>
        <c:ser>
          <c:idx val="5"/>
          <c:order val="5"/>
          <c:tx>
            <c:strRef>
              <c:f>'Shipments-YoY-Change-Pivot'!$G$9</c:f>
              <c:strCache>
                <c:ptCount val="1"/>
                <c:pt idx="0">
                  <c:v>Xiaomi</c:v>
                </c:pt>
              </c:strCache>
            </c:strRef>
          </c:tx>
          <c:spPr>
            <a:solidFill>
              <a:schemeClr val="accent6"/>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'Shipments-YoY-Change-Pivot'!$G$10:$G$15</c:f>
              <c:numCache>
                <c:formatCode>0.00%</c:formatCode>
                <c:ptCount val="6"/>
                <c:pt idx="0">
                  <c:v>-0.40909090909090912</c:v>
                </c:pt>
                <c:pt idx="1">
                  <c:v>-0.4642857142857143</c:v>
                </c:pt>
                <c:pt idx="2">
                  <c:v>-0.3125</c:v>
                </c:pt>
                <c:pt idx="3">
                  <c:v>-0.3125</c:v>
                </c:pt>
                <c:pt idx="4">
                  <c:v>-0.15384615384615385</c:v>
                </c:pt>
                <c:pt idx="5">
                  <c:v>-0.13333333333333333</c:v>
                </c:pt>
              </c:numCache>
            </c:numRef>
          </c:val>
          <c:extLst>
            <c:ext xmlns:c16="http://schemas.microsoft.com/office/drawing/2014/chart" uri="{C3380CC4-5D6E-409C-BE32-E72D297353CC}">
              <c16:uniqueId val="{00000005-02B0-45AA-8EDD-44EBECAE59F5}"/>
            </c:ext>
          </c:extLst>
        </c:ser>
        <c:ser>
          <c:idx val="6"/>
          <c:order val="6"/>
          <c:tx>
            <c:strRef>
              <c:f>'Shipments-YoY-Change-Pivot'!$H$9</c:f>
              <c:strCache>
                <c:ptCount val="1"/>
                <c:pt idx="0">
                  <c:v>Others</c:v>
                </c:pt>
              </c:strCache>
            </c:strRef>
          </c:tx>
          <c:spPr>
            <a:solidFill>
              <a:schemeClr val="bg2">
                <a:lumMod val="75000"/>
              </a:schemeClr>
            </a:solidFill>
            <a:ln>
              <a:noFill/>
            </a:ln>
            <a:effectLst/>
          </c:spPr>
          <c:invertIfNegative val="0"/>
          <c:cat>
            <c:strRef>
              <c:f>'Shipments-YoY-Change-Pivot'!$A$10:$A$15</c:f>
              <c:strCache>
                <c:ptCount val="6"/>
                <c:pt idx="0">
                  <c:v>1Q22</c:v>
                </c:pt>
                <c:pt idx="1">
                  <c:v>2Q22</c:v>
                </c:pt>
                <c:pt idx="2">
                  <c:v>3Q22</c:v>
                </c:pt>
                <c:pt idx="3">
                  <c:v>4Q22</c:v>
                </c:pt>
                <c:pt idx="4">
                  <c:v>1Q23</c:v>
                </c:pt>
                <c:pt idx="5">
                  <c:v>2Q23</c:v>
                </c:pt>
              </c:strCache>
            </c:strRef>
          </c:cat>
          <c:val>
            <c:numRef>
              <c:f>'Shipments-YoY-Change-Pivot'!$H$10:$H$15</c:f>
              <c:numCache>
                <c:formatCode>0.00%</c:formatCode>
                <c:ptCount val="6"/>
                <c:pt idx="0">
                  <c:v>0</c:v>
                </c:pt>
                <c:pt idx="1">
                  <c:v>0.27272727272727271</c:v>
                </c:pt>
                <c:pt idx="2">
                  <c:v>-9.0909090909090912E-2</c:v>
                </c:pt>
                <c:pt idx="3">
                  <c:v>-0.38461538461538464</c:v>
                </c:pt>
                <c:pt idx="4">
                  <c:v>-0.18181818181818182</c:v>
                </c:pt>
                <c:pt idx="5">
                  <c:v>7.1428571428571425E-2</c:v>
                </c:pt>
              </c:numCache>
            </c:numRef>
          </c:val>
          <c:extLst>
            <c:ext xmlns:c16="http://schemas.microsoft.com/office/drawing/2014/chart" uri="{C3380CC4-5D6E-409C-BE32-E72D297353CC}">
              <c16:uniqueId val="{00000006-02B0-45AA-8EDD-44EBECAE59F5}"/>
            </c:ext>
          </c:extLst>
        </c:ser>
        <c:dLbls>
          <c:showLegendKey val="0"/>
          <c:showVal val="0"/>
          <c:showCatName val="0"/>
          <c:showSerName val="0"/>
          <c:showPercent val="0"/>
          <c:showBubbleSize val="0"/>
        </c:dLbls>
        <c:gapWidth val="150"/>
        <c:overlap val="100"/>
        <c:axId val="825727552"/>
        <c:axId val="825727192"/>
      </c:barChart>
      <c:catAx>
        <c:axId val="82572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825727192"/>
        <c:crosses val="autoZero"/>
        <c:auto val="1"/>
        <c:lblAlgn val="ctr"/>
        <c:lblOffset val="100"/>
        <c:noMultiLvlLbl val="0"/>
      </c:catAx>
      <c:valAx>
        <c:axId val="825727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82572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7.jpe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92650</xdr:colOff>
      <xdr:row>16</xdr:row>
      <xdr:rowOff>49194</xdr:rowOff>
    </xdr:from>
    <xdr:to>
      <xdr:col>4</xdr:col>
      <xdr:colOff>1138669</xdr:colOff>
      <xdr:row>34</xdr:row>
      <xdr:rowOff>8589</xdr:rowOff>
    </xdr:to>
    <xdr:pic>
      <xdr:nvPicPr>
        <xdr:cNvPr id="2" name="Picture 1">
          <a:extLst>
            <a:ext uri="{FF2B5EF4-FFF2-40B4-BE49-F238E27FC236}">
              <a16:creationId xmlns:a16="http://schemas.microsoft.com/office/drawing/2014/main" id="{6401A945-0FDD-DB52-DF44-AE88A51B10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0350" y="3097194"/>
          <a:ext cx="4589319" cy="3388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35657</xdr:colOff>
      <xdr:row>16</xdr:row>
      <xdr:rowOff>50212</xdr:rowOff>
    </xdr:from>
    <xdr:to>
      <xdr:col>8</xdr:col>
      <xdr:colOff>902431</xdr:colOff>
      <xdr:row>34</xdr:row>
      <xdr:rowOff>8510</xdr:rowOff>
    </xdr:to>
    <xdr:pic>
      <xdr:nvPicPr>
        <xdr:cNvPr id="4" name="Picture 3">
          <a:extLst>
            <a:ext uri="{FF2B5EF4-FFF2-40B4-BE49-F238E27FC236}">
              <a16:creationId xmlns:a16="http://schemas.microsoft.com/office/drawing/2014/main" id="{DCB719BC-21FB-8BDB-D1CD-D9002E1C22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07757" y="3098212"/>
          <a:ext cx="4410074" cy="3387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919525</xdr:colOff>
      <xdr:row>18</xdr:row>
      <xdr:rowOff>18694</xdr:rowOff>
    </xdr:from>
    <xdr:to>
      <xdr:col>13</xdr:col>
      <xdr:colOff>540837</xdr:colOff>
      <xdr:row>33</xdr:row>
      <xdr:rowOff>105860</xdr:rowOff>
    </xdr:to>
    <xdr:pic>
      <xdr:nvPicPr>
        <xdr:cNvPr id="6" name="Picture 5">
          <a:extLst>
            <a:ext uri="{FF2B5EF4-FFF2-40B4-BE49-F238E27FC236}">
              <a16:creationId xmlns:a16="http://schemas.microsoft.com/office/drawing/2014/main" id="{34A18385-E627-85CB-5ED1-C8DA6C8FD013}"/>
            </a:ext>
          </a:extLst>
        </xdr:cNvPr>
        <xdr:cNvPicPr>
          <a:picLocks noChangeAspect="1"/>
        </xdr:cNvPicPr>
      </xdr:nvPicPr>
      <xdr:blipFill>
        <a:blip xmlns:r="http://schemas.openxmlformats.org/officeDocument/2006/relationships" r:embed="rId3"/>
        <a:stretch>
          <a:fillRect/>
        </a:stretch>
      </xdr:blipFill>
      <xdr:spPr>
        <a:xfrm>
          <a:off x="9834925" y="3447694"/>
          <a:ext cx="5526812" cy="2944666"/>
        </a:xfrm>
        <a:prstGeom prst="rect">
          <a:avLst/>
        </a:prstGeom>
      </xdr:spPr>
    </xdr:pic>
    <xdr:clientData/>
  </xdr:twoCellAnchor>
  <xdr:twoCellAnchor editAs="oneCell">
    <xdr:from>
      <xdr:col>13</xdr:col>
      <xdr:colOff>514912</xdr:colOff>
      <xdr:row>17</xdr:row>
      <xdr:rowOff>126984</xdr:rowOff>
    </xdr:from>
    <xdr:to>
      <xdr:col>18</xdr:col>
      <xdr:colOff>387740</xdr:colOff>
      <xdr:row>33</xdr:row>
      <xdr:rowOff>31734</xdr:rowOff>
    </xdr:to>
    <xdr:pic>
      <xdr:nvPicPr>
        <xdr:cNvPr id="7" name="Picture 6">
          <a:extLst>
            <a:ext uri="{FF2B5EF4-FFF2-40B4-BE49-F238E27FC236}">
              <a16:creationId xmlns:a16="http://schemas.microsoft.com/office/drawing/2014/main" id="{394FDD91-6B1E-D8AD-C7E2-02C7079C40B7}"/>
            </a:ext>
          </a:extLst>
        </xdr:cNvPr>
        <xdr:cNvPicPr>
          <a:picLocks noChangeAspect="1"/>
        </xdr:cNvPicPr>
      </xdr:nvPicPr>
      <xdr:blipFill>
        <a:blip xmlns:r="http://schemas.openxmlformats.org/officeDocument/2006/relationships" r:embed="rId4"/>
        <a:stretch>
          <a:fillRect/>
        </a:stretch>
      </xdr:blipFill>
      <xdr:spPr>
        <a:xfrm>
          <a:off x="15335812" y="3365484"/>
          <a:ext cx="5778328" cy="2952750"/>
        </a:xfrm>
        <a:prstGeom prst="rect">
          <a:avLst/>
        </a:prstGeom>
      </xdr:spPr>
    </xdr:pic>
    <xdr:clientData/>
  </xdr:twoCellAnchor>
  <xdr:twoCellAnchor editAs="oneCell">
    <xdr:from>
      <xdr:col>18</xdr:col>
      <xdr:colOff>238125</xdr:colOff>
      <xdr:row>17</xdr:row>
      <xdr:rowOff>142875</xdr:rowOff>
    </xdr:from>
    <xdr:to>
      <xdr:col>25</xdr:col>
      <xdr:colOff>46082</xdr:colOff>
      <xdr:row>34</xdr:row>
      <xdr:rowOff>28575</xdr:rowOff>
    </xdr:to>
    <xdr:pic>
      <xdr:nvPicPr>
        <xdr:cNvPr id="8" name="Picture 7">
          <a:extLst>
            <a:ext uri="{FF2B5EF4-FFF2-40B4-BE49-F238E27FC236}">
              <a16:creationId xmlns:a16="http://schemas.microsoft.com/office/drawing/2014/main" id="{CB387CC7-3598-B695-3614-D90CB3B66813}"/>
            </a:ext>
          </a:extLst>
        </xdr:cNvPr>
        <xdr:cNvPicPr>
          <a:picLocks noChangeAspect="1"/>
        </xdr:cNvPicPr>
      </xdr:nvPicPr>
      <xdr:blipFill>
        <a:blip xmlns:r="http://schemas.openxmlformats.org/officeDocument/2006/relationships" r:embed="rId5"/>
        <a:stretch>
          <a:fillRect/>
        </a:stretch>
      </xdr:blipFill>
      <xdr:spPr>
        <a:xfrm>
          <a:off x="20964525" y="3381375"/>
          <a:ext cx="5789657" cy="3124200"/>
        </a:xfrm>
        <a:prstGeom prst="rect">
          <a:avLst/>
        </a:prstGeom>
      </xdr:spPr>
    </xdr:pic>
    <xdr:clientData/>
  </xdr:twoCellAnchor>
  <xdr:twoCellAnchor editAs="oneCell">
    <xdr:from>
      <xdr:col>25</xdr:col>
      <xdr:colOff>95250</xdr:colOff>
      <xdr:row>17</xdr:row>
      <xdr:rowOff>95250</xdr:rowOff>
    </xdr:from>
    <xdr:to>
      <xdr:col>33</xdr:col>
      <xdr:colOff>9525</xdr:colOff>
      <xdr:row>32</xdr:row>
      <xdr:rowOff>67974</xdr:rowOff>
    </xdr:to>
    <xdr:pic>
      <xdr:nvPicPr>
        <xdr:cNvPr id="9" name="Picture 8">
          <a:extLst>
            <a:ext uri="{FF2B5EF4-FFF2-40B4-BE49-F238E27FC236}">
              <a16:creationId xmlns:a16="http://schemas.microsoft.com/office/drawing/2014/main" id="{756D160B-76A1-4CAF-BC44-AE0062ECCDD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803350" y="3333750"/>
          <a:ext cx="4791075" cy="2830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219075</xdr:colOff>
      <xdr:row>18</xdr:row>
      <xdr:rowOff>23811</xdr:rowOff>
    </xdr:from>
    <xdr:to>
      <xdr:col>15</xdr:col>
      <xdr:colOff>295275</xdr:colOff>
      <xdr:row>36</xdr:row>
      <xdr:rowOff>133350</xdr:rowOff>
    </xdr:to>
    <xdr:graphicFrame macro="">
      <xdr:nvGraphicFramePr>
        <xdr:cNvPr id="2" name="Chart 1">
          <a:extLst>
            <a:ext uri="{FF2B5EF4-FFF2-40B4-BE49-F238E27FC236}">
              <a16:creationId xmlns:a16="http://schemas.microsoft.com/office/drawing/2014/main" id="{8D5CDA84-D120-55BD-35EF-D250DFC28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219076</xdr:colOff>
      <xdr:row>1</xdr:row>
      <xdr:rowOff>180974</xdr:rowOff>
    </xdr:from>
    <xdr:to>
      <xdr:col>15</xdr:col>
      <xdr:colOff>85726</xdr:colOff>
      <xdr:row>17</xdr:row>
      <xdr:rowOff>38099</xdr:rowOff>
    </xdr:to>
    <xdr:graphicFrame macro="">
      <xdr:nvGraphicFramePr>
        <xdr:cNvPr id="3" name="Chart 2">
          <a:extLst>
            <a:ext uri="{FF2B5EF4-FFF2-40B4-BE49-F238E27FC236}">
              <a16:creationId xmlns:a16="http://schemas.microsoft.com/office/drawing/2014/main" id="{5B7EC101-24A5-3EA4-728B-78E55E428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39</xdr:col>
      <xdr:colOff>0</xdr:colOff>
      <xdr:row>85</xdr:row>
      <xdr:rowOff>166689</xdr:rowOff>
    </xdr:to>
    <xdr:pic>
      <xdr:nvPicPr>
        <xdr:cNvPr id="16" name="Picture 15" descr="silver Android smartphone">
          <a:extLst>
            <a:ext uri="{FF2B5EF4-FFF2-40B4-BE49-F238E27FC236}">
              <a16:creationId xmlns:a16="http://schemas.microsoft.com/office/drawing/2014/main" id="{E8ADF1CA-F007-18E4-C178-691D12753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639318" cy="16359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363683</xdr:colOff>
      <xdr:row>7</xdr:row>
      <xdr:rowOff>114300</xdr:rowOff>
    </xdr:from>
    <xdr:to>
      <xdr:col>37</xdr:col>
      <xdr:colOff>190501</xdr:colOff>
      <xdr:row>81</xdr:row>
      <xdr:rowOff>95250</xdr:rowOff>
    </xdr:to>
    <xdr:sp macro="" textlink="">
      <xdr:nvSpPr>
        <xdr:cNvPr id="14" name="Rectangle 13">
          <a:extLst>
            <a:ext uri="{FF2B5EF4-FFF2-40B4-BE49-F238E27FC236}">
              <a16:creationId xmlns:a16="http://schemas.microsoft.com/office/drawing/2014/main" id="{3A55473A-AC7F-43FF-8310-1A003627AD7E}"/>
            </a:ext>
          </a:extLst>
        </xdr:cNvPr>
        <xdr:cNvSpPr/>
      </xdr:nvSpPr>
      <xdr:spPr>
        <a:xfrm>
          <a:off x="976004" y="1447800"/>
          <a:ext cx="21870390" cy="14077950"/>
        </a:xfrm>
        <a:prstGeom prst="rect">
          <a:avLst/>
        </a:prstGeom>
        <a:solidFill>
          <a:srgbClr val="002060">
            <a:alpha val="12941"/>
          </a:srgbClr>
        </a:solidFill>
        <a:ln>
          <a:solidFill>
            <a:srgbClr val="000724">
              <a:alpha val="30196"/>
            </a:srgbClr>
          </a:solidFill>
        </a:ln>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83127</xdr:colOff>
      <xdr:row>9</xdr:row>
      <xdr:rowOff>69271</xdr:rowOff>
    </xdr:from>
    <xdr:to>
      <xdr:col>35</xdr:col>
      <xdr:colOff>588817</xdr:colOff>
      <xdr:row>35</xdr:row>
      <xdr:rowOff>184646</xdr:rowOff>
    </xdr:to>
    <xdr:sp macro="" textlink="">
      <xdr:nvSpPr>
        <xdr:cNvPr id="4" name="Rectangle: Rounded Corners 3">
          <a:extLst>
            <a:ext uri="{FF2B5EF4-FFF2-40B4-BE49-F238E27FC236}">
              <a16:creationId xmlns:a16="http://schemas.microsoft.com/office/drawing/2014/main" id="{694DF24F-985F-4B78-8A2B-4891D96E5562}"/>
            </a:ext>
          </a:extLst>
        </xdr:cNvPr>
        <xdr:cNvSpPr/>
      </xdr:nvSpPr>
      <xdr:spPr>
        <a:xfrm>
          <a:off x="13418127" y="1783771"/>
          <a:ext cx="8385463" cy="5068375"/>
        </a:xfrm>
        <a:prstGeom prst="roundRect">
          <a:avLst/>
        </a:prstGeom>
        <a:solidFill>
          <a:srgbClr val="262626">
            <a:alpha val="69804"/>
          </a:srgbClr>
        </a:solidFill>
        <a:ln>
          <a:noFill/>
        </a:ln>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518644</xdr:colOff>
      <xdr:row>10</xdr:row>
      <xdr:rowOff>138298</xdr:rowOff>
    </xdr:from>
    <xdr:to>
      <xdr:col>35</xdr:col>
      <xdr:colOff>290945</xdr:colOff>
      <xdr:row>34</xdr:row>
      <xdr:rowOff>119740</xdr:rowOff>
    </xdr:to>
    <xdr:graphicFrame macro="">
      <xdr:nvGraphicFramePr>
        <xdr:cNvPr id="9" name="Chart 8">
          <a:extLst>
            <a:ext uri="{FF2B5EF4-FFF2-40B4-BE49-F238E27FC236}">
              <a16:creationId xmlns:a16="http://schemas.microsoft.com/office/drawing/2014/main" id="{0BA2B970-1818-4C3B-BB25-94BA023AE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484910</xdr:colOff>
      <xdr:row>9</xdr:row>
      <xdr:rowOff>72736</xdr:rowOff>
    </xdr:from>
    <xdr:to>
      <xdr:col>21</xdr:col>
      <xdr:colOff>86591</xdr:colOff>
      <xdr:row>35</xdr:row>
      <xdr:rowOff>159328</xdr:rowOff>
    </xdr:to>
    <xdr:sp macro="" textlink="">
      <xdr:nvSpPr>
        <xdr:cNvPr id="3" name="Rectangle: Rounded Corners 2">
          <a:extLst>
            <a:ext uri="{FF2B5EF4-FFF2-40B4-BE49-F238E27FC236}">
              <a16:creationId xmlns:a16="http://schemas.microsoft.com/office/drawing/2014/main" id="{62209712-3A93-40FC-AC87-004098A34EDF}"/>
            </a:ext>
          </a:extLst>
        </xdr:cNvPr>
        <xdr:cNvSpPr/>
      </xdr:nvSpPr>
      <xdr:spPr>
        <a:xfrm>
          <a:off x="4121728" y="1787236"/>
          <a:ext cx="8693727" cy="5039592"/>
        </a:xfrm>
        <a:prstGeom prst="roundRect">
          <a:avLst/>
        </a:prstGeom>
        <a:solidFill>
          <a:srgbClr val="262626">
            <a:alpha val="69804"/>
          </a:srgbClr>
        </a:solidFill>
        <a:ln>
          <a:noFill/>
        </a:ln>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258511</xdr:colOff>
      <xdr:row>10</xdr:row>
      <xdr:rowOff>138297</xdr:rowOff>
    </xdr:from>
    <xdr:to>
      <xdr:col>20</xdr:col>
      <xdr:colOff>334920</xdr:colOff>
      <xdr:row>34</xdr:row>
      <xdr:rowOff>121447</xdr:rowOff>
    </xdr:to>
    <xdr:graphicFrame macro="">
      <xdr:nvGraphicFramePr>
        <xdr:cNvPr id="10" name="Chart 9">
          <a:extLst>
            <a:ext uri="{FF2B5EF4-FFF2-40B4-BE49-F238E27FC236}">
              <a16:creationId xmlns:a16="http://schemas.microsoft.com/office/drawing/2014/main" id="{98C55DD2-65BD-4DDF-B8FA-3EC341CE1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320633</xdr:colOff>
      <xdr:row>9</xdr:row>
      <xdr:rowOff>69024</xdr:rowOff>
    </xdr:from>
    <xdr:to>
      <xdr:col>5</xdr:col>
      <xdr:colOff>525728</xdr:colOff>
      <xdr:row>30</xdr:row>
      <xdr:rowOff>86591</xdr:rowOff>
    </xdr:to>
    <xdr:sp macro="" textlink="">
      <xdr:nvSpPr>
        <xdr:cNvPr id="2" name="Rectangle: Rounded Corners 1">
          <a:extLst>
            <a:ext uri="{FF2B5EF4-FFF2-40B4-BE49-F238E27FC236}">
              <a16:creationId xmlns:a16="http://schemas.microsoft.com/office/drawing/2014/main" id="{030C0285-C8C5-CDEE-9EFC-43E5C2E1F553}"/>
            </a:ext>
          </a:extLst>
        </xdr:cNvPr>
        <xdr:cNvSpPr/>
      </xdr:nvSpPr>
      <xdr:spPr>
        <a:xfrm>
          <a:off x="1532906" y="1783524"/>
          <a:ext cx="2023504" cy="4018067"/>
        </a:xfrm>
        <a:prstGeom prst="roundRect">
          <a:avLst/>
        </a:prstGeom>
        <a:solidFill>
          <a:srgbClr val="262626">
            <a:alpha val="65098"/>
          </a:srgbClr>
        </a:solidFill>
        <a:ln>
          <a:noFill/>
        </a:ln>
        <a:effectLst>
          <a:reflection blurRad="6350" stA="50000" endA="300" endPos="55500" dist="1016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418604</xdr:colOff>
      <xdr:row>13</xdr:row>
      <xdr:rowOff>31913</xdr:rowOff>
    </xdr:from>
    <xdr:to>
      <xdr:col>5</xdr:col>
      <xdr:colOff>418604</xdr:colOff>
      <xdr:row>28</xdr:row>
      <xdr:rowOff>101186</xdr:rowOff>
    </xdr:to>
    <mc:AlternateContent xmlns:mc="http://schemas.openxmlformats.org/markup-compatibility/2006">
      <mc:Choice xmlns:a14="http://schemas.microsoft.com/office/drawing/2010/main" Requires="a14">
        <xdr:graphicFrame macro="">
          <xdr:nvGraphicFramePr>
            <xdr:cNvPr id="11" name="Date">
              <a:extLst>
                <a:ext uri="{FF2B5EF4-FFF2-40B4-BE49-F238E27FC236}">
                  <a16:creationId xmlns:a16="http://schemas.microsoft.com/office/drawing/2014/main" id="{BFB42D7B-EF86-E093-2DC1-69242587F98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630877" y="2508413"/>
              <a:ext cx="1818409" cy="2926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465857</xdr:colOff>
      <xdr:row>37</xdr:row>
      <xdr:rowOff>174470</xdr:rowOff>
    </xdr:from>
    <xdr:to>
      <xdr:col>21</xdr:col>
      <xdr:colOff>51954</xdr:colOff>
      <xdr:row>72</xdr:row>
      <xdr:rowOff>34636</xdr:rowOff>
    </xdr:to>
    <xdr:sp macro="" textlink="">
      <xdr:nvSpPr>
        <xdr:cNvPr id="7" name="Rectangle: Rounded Corners 6">
          <a:extLst>
            <a:ext uri="{FF2B5EF4-FFF2-40B4-BE49-F238E27FC236}">
              <a16:creationId xmlns:a16="http://schemas.microsoft.com/office/drawing/2014/main" id="{DC50E43D-3A9D-4B9D-AE5E-0480F29D5587}"/>
            </a:ext>
          </a:extLst>
        </xdr:cNvPr>
        <xdr:cNvSpPr/>
      </xdr:nvSpPr>
      <xdr:spPr>
        <a:xfrm>
          <a:off x="4102675" y="7222970"/>
          <a:ext cx="8678143" cy="6527666"/>
        </a:xfrm>
        <a:prstGeom prst="roundRect">
          <a:avLst/>
        </a:prstGeom>
        <a:solidFill>
          <a:srgbClr val="262626">
            <a:alpha val="69804"/>
          </a:srgbClr>
        </a:solidFill>
        <a:ln>
          <a:noFill/>
        </a:ln>
        <a:effectLst>
          <a:reflection blurRad="6350" stA="50000" endA="300" endPos="90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59748</xdr:colOff>
      <xdr:row>43</xdr:row>
      <xdr:rowOff>42420</xdr:rowOff>
    </xdr:from>
    <xdr:to>
      <xdr:col>20</xdr:col>
      <xdr:colOff>356624</xdr:colOff>
      <xdr:row>71</xdr:row>
      <xdr:rowOff>19096</xdr:rowOff>
    </xdr:to>
    <xdr:graphicFrame macro="">
      <xdr:nvGraphicFramePr>
        <xdr:cNvPr id="5" name="Chart 4">
          <a:extLst>
            <a:ext uri="{FF2B5EF4-FFF2-40B4-BE49-F238E27FC236}">
              <a16:creationId xmlns:a16="http://schemas.microsoft.com/office/drawing/2014/main" id="{7BC21D14-44E8-466A-8692-0FAD89A3C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334488</xdr:colOff>
      <xdr:row>31</xdr:row>
      <xdr:rowOff>48242</xdr:rowOff>
    </xdr:from>
    <xdr:to>
      <xdr:col>5</xdr:col>
      <xdr:colOff>539583</xdr:colOff>
      <xdr:row>51</xdr:row>
      <xdr:rowOff>51954</xdr:rowOff>
    </xdr:to>
    <xdr:sp macro="" textlink="">
      <xdr:nvSpPr>
        <xdr:cNvPr id="8" name="Rectangle: Rounded Corners 7">
          <a:extLst>
            <a:ext uri="{FF2B5EF4-FFF2-40B4-BE49-F238E27FC236}">
              <a16:creationId xmlns:a16="http://schemas.microsoft.com/office/drawing/2014/main" id="{0019E1B4-623E-44B6-85CC-A5F6ED27BFF7}"/>
            </a:ext>
          </a:extLst>
        </xdr:cNvPr>
        <xdr:cNvSpPr/>
      </xdr:nvSpPr>
      <xdr:spPr>
        <a:xfrm>
          <a:off x="1546761" y="5953742"/>
          <a:ext cx="2023504" cy="3813712"/>
        </a:xfrm>
        <a:prstGeom prst="roundRect">
          <a:avLst/>
        </a:prstGeom>
        <a:solidFill>
          <a:srgbClr val="262626">
            <a:alpha val="65098"/>
          </a:srgbClr>
        </a:solidFill>
        <a:ln>
          <a:noFill/>
        </a:ln>
        <a:effectLst>
          <a:reflection blurRad="6350" stA="50000" endA="300" endPos="55500" dist="1016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498761</xdr:colOff>
      <xdr:row>34</xdr:row>
      <xdr:rowOff>16018</xdr:rowOff>
    </xdr:from>
    <xdr:to>
      <xdr:col>5</xdr:col>
      <xdr:colOff>394853</xdr:colOff>
      <xdr:row>49</xdr:row>
      <xdr:rowOff>173181</xdr:rowOff>
    </xdr:to>
    <mc:AlternateContent xmlns:mc="http://schemas.openxmlformats.org/markup-compatibility/2006">
      <mc:Choice xmlns:a14="http://schemas.microsoft.com/office/drawing/2010/main" Requires="a14">
        <xdr:graphicFrame macro="">
          <xdr:nvGraphicFramePr>
            <xdr:cNvPr id="6" name="Date ">
              <a:extLst>
                <a:ext uri="{FF2B5EF4-FFF2-40B4-BE49-F238E27FC236}">
                  <a16:creationId xmlns:a16="http://schemas.microsoft.com/office/drawing/2014/main" id="{B06896A4-93B9-4C3E-93FF-973342640524}"/>
                </a:ext>
              </a:extLst>
            </xdr:cNvPr>
            <xdr:cNvGraphicFramePr/>
          </xdr:nvGraphicFramePr>
          <xdr:xfrm>
            <a:off x="0" y="0"/>
            <a:ext cx="0" cy="0"/>
          </xdr:xfrm>
          <a:graphic>
            <a:graphicData uri="http://schemas.microsoft.com/office/drawing/2010/slicer">
              <sle:slicer xmlns:sle="http://schemas.microsoft.com/office/drawing/2010/slicer" name="Date "/>
            </a:graphicData>
          </a:graphic>
        </xdr:graphicFrame>
      </mc:Choice>
      <mc:Fallback>
        <xdr:sp macro="" textlink="">
          <xdr:nvSpPr>
            <xdr:cNvPr id="0" name=""/>
            <xdr:cNvSpPr>
              <a:spLocks noTextEdit="1"/>
            </xdr:cNvSpPr>
          </xdr:nvSpPr>
          <xdr:spPr>
            <a:xfrm>
              <a:off x="1711034" y="6493018"/>
              <a:ext cx="1714501" cy="3014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214312</xdr:colOff>
      <xdr:row>2</xdr:row>
      <xdr:rowOff>0</xdr:rowOff>
    </xdr:from>
    <xdr:ext cx="12904558" cy="781111"/>
    <xdr:sp macro="" textlink="">
      <xdr:nvSpPr>
        <xdr:cNvPr id="12" name="TextBox 11">
          <a:extLst>
            <a:ext uri="{FF2B5EF4-FFF2-40B4-BE49-F238E27FC236}">
              <a16:creationId xmlns:a16="http://schemas.microsoft.com/office/drawing/2014/main" id="{D556C3EA-A9F2-EF5C-FC16-E6B4491981F3}"/>
            </a:ext>
          </a:extLst>
        </xdr:cNvPr>
        <xdr:cNvSpPr txBox="1"/>
      </xdr:nvSpPr>
      <xdr:spPr>
        <a:xfrm>
          <a:off x="5786437" y="381000"/>
          <a:ext cx="12904558"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1" u="sng">
              <a:solidFill>
                <a:schemeClr val="bg1"/>
              </a:solidFill>
              <a:latin typeface="Aptos" panose="020B0004020202020204" pitchFamily="34" charset="0"/>
            </a:rPr>
            <a:t>SMARTPHONE</a:t>
          </a:r>
          <a:r>
            <a:rPr lang="en-US" sz="4400" b="1" u="sng" baseline="0">
              <a:solidFill>
                <a:schemeClr val="bg1"/>
              </a:solidFill>
              <a:latin typeface="Aptos" panose="020B0004020202020204" pitchFamily="34" charset="0"/>
            </a:rPr>
            <a:t> SALES IN INDONESIA BY VENDORS</a:t>
          </a:r>
          <a:endParaRPr lang="en-US" sz="4400" b="1" u="sng">
            <a:solidFill>
              <a:schemeClr val="bg1"/>
            </a:solidFill>
            <a:latin typeface="Aptos" panose="020B0004020202020204" pitchFamily="34" charset="0"/>
          </a:endParaRPr>
        </a:p>
      </xdr:txBody>
    </xdr:sp>
    <xdr:clientData/>
  </xdr:oneCellAnchor>
  <xdr:twoCellAnchor>
    <xdr:from>
      <xdr:col>10</xdr:col>
      <xdr:colOff>554180</xdr:colOff>
      <xdr:row>39</xdr:row>
      <xdr:rowOff>155863</xdr:rowOff>
    </xdr:from>
    <xdr:to>
      <xdr:col>15</xdr:col>
      <xdr:colOff>571499</xdr:colOff>
      <xdr:row>44</xdr:row>
      <xdr:rowOff>51954</xdr:rowOff>
    </xdr:to>
    <xdr:sp macro="" textlink="">
      <xdr:nvSpPr>
        <xdr:cNvPr id="13" name="TextBox 12">
          <a:extLst>
            <a:ext uri="{FF2B5EF4-FFF2-40B4-BE49-F238E27FC236}">
              <a16:creationId xmlns:a16="http://schemas.microsoft.com/office/drawing/2014/main" id="{8A22A1CE-1FB2-3FAC-C180-727902265932}"/>
            </a:ext>
          </a:extLst>
        </xdr:cNvPr>
        <xdr:cNvSpPr txBox="1"/>
      </xdr:nvSpPr>
      <xdr:spPr>
        <a:xfrm>
          <a:off x="6615544" y="7585363"/>
          <a:ext cx="3048000" cy="848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n>
                <a:noFill/>
              </a:ln>
              <a:solidFill>
                <a:schemeClr val="bg1"/>
              </a:solidFill>
              <a:latin typeface="Bahnschrift Light" panose="020B0502040204020203" pitchFamily="34" charset="0"/>
            </a:rPr>
            <a:t>Market</a:t>
          </a:r>
          <a:r>
            <a:rPr lang="en-US" sz="2400" b="1" baseline="0">
              <a:ln>
                <a:noFill/>
              </a:ln>
              <a:solidFill>
                <a:schemeClr val="bg1"/>
              </a:solidFill>
              <a:latin typeface="Bahnschrift Light" panose="020B0502040204020203" pitchFamily="34" charset="0"/>
            </a:rPr>
            <a:t> Share (%)</a:t>
          </a:r>
          <a:endParaRPr lang="en-US" sz="2400" b="1">
            <a:ln>
              <a:noFill/>
            </a:ln>
            <a:solidFill>
              <a:schemeClr val="bg1"/>
            </a:solidFill>
            <a:latin typeface="Bahnschrift Light" panose="020B0502040204020203" pitchFamily="34" charset="0"/>
          </a:endParaRPr>
        </a:p>
      </xdr:txBody>
    </xdr:sp>
    <xdr:clientData/>
  </xdr:twoCellAnchor>
  <xdr:twoCellAnchor>
    <xdr:from>
      <xdr:col>2</xdr:col>
      <xdr:colOff>187036</xdr:colOff>
      <xdr:row>31</xdr:row>
      <xdr:rowOff>117762</xdr:rowOff>
    </xdr:from>
    <xdr:to>
      <xdr:col>6</xdr:col>
      <xdr:colOff>17319</xdr:colOff>
      <xdr:row>33</xdr:row>
      <xdr:rowOff>121227</xdr:rowOff>
    </xdr:to>
    <xdr:sp macro="" textlink="">
      <xdr:nvSpPr>
        <xdr:cNvPr id="15" name="TextBox 14">
          <a:extLst>
            <a:ext uri="{FF2B5EF4-FFF2-40B4-BE49-F238E27FC236}">
              <a16:creationId xmlns:a16="http://schemas.microsoft.com/office/drawing/2014/main" id="{4D6FEF47-ECB7-4FC2-BBFD-D8A4193B2CEE}"/>
            </a:ext>
          </a:extLst>
        </xdr:cNvPr>
        <xdr:cNvSpPr txBox="1"/>
      </xdr:nvSpPr>
      <xdr:spPr>
        <a:xfrm>
          <a:off x="1399309" y="6023262"/>
          <a:ext cx="2254828" cy="38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latin typeface="Bahnschrift Light" panose="020B0502040204020203" pitchFamily="34" charset="0"/>
            </a:rPr>
            <a:t>Market</a:t>
          </a:r>
          <a:r>
            <a:rPr lang="en-US" sz="1600" b="1" baseline="0">
              <a:ln>
                <a:noFill/>
              </a:ln>
              <a:solidFill>
                <a:schemeClr val="bg1"/>
              </a:solidFill>
              <a:latin typeface="Bahnschrift Light" panose="020B0502040204020203" pitchFamily="34" charset="0"/>
            </a:rPr>
            <a:t> Share</a:t>
          </a:r>
          <a:endParaRPr lang="en-US" sz="1600" b="1">
            <a:ln>
              <a:noFill/>
            </a:ln>
            <a:solidFill>
              <a:schemeClr val="bg1"/>
            </a:solidFill>
            <a:latin typeface="Bahnschrift Light" panose="020B0502040204020203" pitchFamily="34" charset="0"/>
          </a:endParaRPr>
        </a:p>
      </xdr:txBody>
    </xdr:sp>
    <xdr:clientData/>
  </xdr:twoCellAnchor>
  <xdr:twoCellAnchor>
    <xdr:from>
      <xdr:col>2</xdr:col>
      <xdr:colOff>138545</xdr:colOff>
      <xdr:row>10</xdr:row>
      <xdr:rowOff>69272</xdr:rowOff>
    </xdr:from>
    <xdr:to>
      <xdr:col>5</xdr:col>
      <xdr:colOff>574964</xdr:colOff>
      <xdr:row>12</xdr:row>
      <xdr:rowOff>72737</xdr:rowOff>
    </xdr:to>
    <xdr:sp macro="" textlink="">
      <xdr:nvSpPr>
        <xdr:cNvPr id="17" name="TextBox 16">
          <a:extLst>
            <a:ext uri="{FF2B5EF4-FFF2-40B4-BE49-F238E27FC236}">
              <a16:creationId xmlns:a16="http://schemas.microsoft.com/office/drawing/2014/main" id="{839E49A1-441C-4F7F-A6E0-D9BB4AD5DB26}"/>
            </a:ext>
          </a:extLst>
        </xdr:cNvPr>
        <xdr:cNvSpPr txBox="1"/>
      </xdr:nvSpPr>
      <xdr:spPr>
        <a:xfrm>
          <a:off x="1350818" y="1974272"/>
          <a:ext cx="2254828" cy="38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latin typeface="Bahnschrift Light" panose="020B0502040204020203" pitchFamily="34" charset="0"/>
            </a:rPr>
            <a:t>Shipments</a:t>
          </a:r>
        </a:p>
      </xdr:txBody>
    </xdr:sp>
    <xdr:clientData/>
  </xdr:twoCellAnchor>
  <xdr:twoCellAnchor>
    <xdr:from>
      <xdr:col>2</xdr:col>
      <xdr:colOff>340921</xdr:colOff>
      <xdr:row>52</xdr:row>
      <xdr:rowOff>79414</xdr:rowOff>
    </xdr:from>
    <xdr:to>
      <xdr:col>5</xdr:col>
      <xdr:colOff>546016</xdr:colOff>
      <xdr:row>67</xdr:row>
      <xdr:rowOff>103909</xdr:rowOff>
    </xdr:to>
    <xdr:sp macro="" textlink="">
      <xdr:nvSpPr>
        <xdr:cNvPr id="22" name="Rectangle: Rounded Corners 21">
          <a:extLst>
            <a:ext uri="{FF2B5EF4-FFF2-40B4-BE49-F238E27FC236}">
              <a16:creationId xmlns:a16="http://schemas.microsoft.com/office/drawing/2014/main" id="{12180A08-9EEB-4B87-A6F7-2A8A9BE7765B}"/>
            </a:ext>
          </a:extLst>
        </xdr:cNvPr>
        <xdr:cNvSpPr/>
      </xdr:nvSpPr>
      <xdr:spPr>
        <a:xfrm>
          <a:off x="1565564" y="9985414"/>
          <a:ext cx="2042059" cy="2881995"/>
        </a:xfrm>
        <a:prstGeom prst="roundRect">
          <a:avLst/>
        </a:prstGeom>
        <a:solidFill>
          <a:srgbClr val="262626">
            <a:alpha val="65098"/>
          </a:srgbClr>
        </a:solidFill>
        <a:ln>
          <a:noFill/>
        </a:ln>
        <a:effectLst>
          <a:reflection blurRad="6350" stA="50000" endA="300" endPos="55500" dist="1016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442852</xdr:colOff>
      <xdr:row>56</xdr:row>
      <xdr:rowOff>79661</xdr:rowOff>
    </xdr:from>
    <xdr:to>
      <xdr:col>5</xdr:col>
      <xdr:colOff>453243</xdr:colOff>
      <xdr:row>66</xdr:row>
      <xdr:rowOff>17315</xdr:rowOff>
    </xdr:to>
    <mc:AlternateContent xmlns:mc="http://schemas.openxmlformats.org/markup-compatibility/2006">
      <mc:Choice xmlns:a14="http://schemas.microsoft.com/office/drawing/2010/main" Requires="a14">
        <xdr:graphicFrame macro="">
          <xdr:nvGraphicFramePr>
            <xdr:cNvPr id="21" name="Date   1">
              <a:extLst>
                <a:ext uri="{FF2B5EF4-FFF2-40B4-BE49-F238E27FC236}">
                  <a16:creationId xmlns:a16="http://schemas.microsoft.com/office/drawing/2014/main" id="{99DD96E9-37ED-492F-A730-2794FB7B64F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655125" y="10747661"/>
              <a:ext cx="1828800" cy="1842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395101</xdr:colOff>
      <xdr:row>53</xdr:row>
      <xdr:rowOff>10389</xdr:rowOff>
    </xdr:from>
    <xdr:to>
      <xdr:col>5</xdr:col>
      <xdr:colOff>435428</xdr:colOff>
      <xdr:row>56</xdr:row>
      <xdr:rowOff>34636</xdr:rowOff>
    </xdr:to>
    <xdr:sp macro="" textlink="">
      <xdr:nvSpPr>
        <xdr:cNvPr id="24" name="TextBox 23">
          <a:extLst>
            <a:ext uri="{FF2B5EF4-FFF2-40B4-BE49-F238E27FC236}">
              <a16:creationId xmlns:a16="http://schemas.microsoft.com/office/drawing/2014/main" id="{1FF8ACBF-9D3F-4A57-A80D-ED18B89777C2}"/>
            </a:ext>
          </a:extLst>
        </xdr:cNvPr>
        <xdr:cNvSpPr txBox="1"/>
      </xdr:nvSpPr>
      <xdr:spPr>
        <a:xfrm>
          <a:off x="1619744" y="10106889"/>
          <a:ext cx="1877291" cy="59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latin typeface="Bahnschrift Light" panose="020B0502040204020203" pitchFamily="34" charset="0"/>
            </a:rPr>
            <a:t>Shipments</a:t>
          </a:r>
          <a:r>
            <a:rPr lang="en-US" sz="1600" b="1" baseline="0">
              <a:ln>
                <a:noFill/>
              </a:ln>
              <a:solidFill>
                <a:schemeClr val="bg1"/>
              </a:solidFill>
              <a:latin typeface="Bahnschrift Light" panose="020B0502040204020203" pitchFamily="34" charset="0"/>
            </a:rPr>
            <a:t> Change YoY </a:t>
          </a:r>
          <a:endParaRPr lang="en-US" sz="1600" b="1">
            <a:ln>
              <a:noFill/>
            </a:ln>
            <a:solidFill>
              <a:schemeClr val="bg1"/>
            </a:solidFill>
            <a:latin typeface="Bahnschrift Light" panose="020B0502040204020203" pitchFamily="34" charset="0"/>
          </a:endParaRPr>
        </a:p>
      </xdr:txBody>
    </xdr:sp>
    <xdr:clientData/>
  </xdr:twoCellAnchor>
  <xdr:twoCellAnchor>
    <xdr:from>
      <xdr:col>22</xdr:col>
      <xdr:colOff>81394</xdr:colOff>
      <xdr:row>37</xdr:row>
      <xdr:rowOff>119052</xdr:rowOff>
    </xdr:from>
    <xdr:to>
      <xdr:col>36</xdr:col>
      <xdr:colOff>47625</xdr:colOff>
      <xdr:row>71</xdr:row>
      <xdr:rowOff>169718</xdr:rowOff>
    </xdr:to>
    <xdr:sp macro="" textlink="">
      <xdr:nvSpPr>
        <xdr:cNvPr id="26" name="Rectangle: Rounded Corners 25">
          <a:extLst>
            <a:ext uri="{FF2B5EF4-FFF2-40B4-BE49-F238E27FC236}">
              <a16:creationId xmlns:a16="http://schemas.microsoft.com/office/drawing/2014/main" id="{97AB974D-7D95-47CB-A270-AD10A6F1DD3A}"/>
            </a:ext>
          </a:extLst>
        </xdr:cNvPr>
        <xdr:cNvSpPr/>
      </xdr:nvSpPr>
      <xdr:spPr>
        <a:xfrm>
          <a:off x="13702144" y="7167552"/>
          <a:ext cx="8633981" cy="6527666"/>
        </a:xfrm>
        <a:prstGeom prst="roundRect">
          <a:avLst/>
        </a:prstGeom>
        <a:solidFill>
          <a:srgbClr val="262626">
            <a:alpha val="69804"/>
          </a:srgbClr>
        </a:solidFill>
        <a:ln>
          <a:noFill/>
        </a:ln>
        <a:effectLst>
          <a:reflection blurRad="6350" stA="50000" endA="300" endPos="90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134216</xdr:colOff>
      <xdr:row>40</xdr:row>
      <xdr:rowOff>69273</xdr:rowOff>
    </xdr:from>
    <xdr:to>
      <xdr:col>35</xdr:col>
      <xdr:colOff>346362</xdr:colOff>
      <xdr:row>69</xdr:row>
      <xdr:rowOff>121227</xdr:rowOff>
    </xdr:to>
    <xdr:graphicFrame macro="">
      <xdr:nvGraphicFramePr>
        <xdr:cNvPr id="20" name="Chart 19">
          <a:extLst>
            <a:ext uri="{FF2B5EF4-FFF2-40B4-BE49-F238E27FC236}">
              <a16:creationId xmlns:a16="http://schemas.microsoft.com/office/drawing/2014/main" id="{6F17BF5B-1244-4600-A608-FD7AAE459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227.530432754633" createdVersion="8" refreshedVersion="8" minRefreshableVersion="3" recordCount="10" xr:uid="{5C0D2128-944B-4F3A-9575-64BE4976671A}">
  <cacheSource type="worksheet">
    <worksheetSource ref="J2:Q12" sheet="Transposed-Data"/>
  </cacheSource>
  <cacheFields count="8">
    <cacheField name="Date" numFmtId="0">
      <sharedItems count="10">
        <s v="2Q23"/>
        <s v="1Q23"/>
        <s v="4Q22"/>
        <s v="3Q22"/>
        <s v="2Q22"/>
        <s v="1Q22"/>
        <s v="4Q21"/>
        <s v="3Q21"/>
        <s v="2Q21"/>
        <s v="1Q21"/>
      </sharedItems>
    </cacheField>
    <cacheField name="Samsung" numFmtId="0">
      <sharedItems containsSemiMixedTypes="0" containsString="0" containsNumber="1" containsInteger="1" minValue="1500000" maxValue="2100000"/>
    </cacheField>
    <cacheField name="OPPO" numFmtId="0">
      <sharedItems containsSemiMixedTypes="0" containsString="0" containsNumber="1" containsInteger="1" minValue="1600000" maxValue="2500000"/>
    </cacheField>
    <cacheField name="Vivo" numFmtId="0">
      <sharedItems containsSemiMixedTypes="0" containsString="0" containsNumber="1" containsInteger="1" minValue="1300000" maxValue="2000000"/>
    </cacheField>
    <cacheField name="Xiaomi" numFmtId="0">
      <sharedItems containsSemiMixedTypes="0" containsString="0" containsNumber="1" containsInteger="1" minValue="1100000" maxValue="2800000"/>
    </cacheField>
    <cacheField name="Transsion" numFmtId="0">
      <sharedItems containsString="0" containsBlank="1" containsNumber="1" containsInteger="1" minValue="1100000" maxValue="1200000"/>
    </cacheField>
    <cacheField name="Realme" numFmtId="0">
      <sharedItems containsString="0" containsBlank="1" containsNumber="1" containsInteger="1" minValue="800000" maxValue="1400000"/>
    </cacheField>
    <cacheField name="Others" numFmtId="0">
      <sharedItems containsSemiMixedTypes="0" containsString="0" containsNumber="1" containsInteger="1" minValue="800000" maxValue="1500000"/>
    </cacheField>
  </cacheFields>
  <extLst>
    <ext xmlns:x14="http://schemas.microsoft.com/office/spreadsheetml/2009/9/main" uri="{725AE2AE-9491-48be-B2B4-4EB974FC3084}">
      <x14:pivotCacheDefinition pivotCacheId="1652601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8.893049305552" backgroundQuery="1" createdVersion="8" refreshedVersion="8" minRefreshableVersion="3" recordCount="0" supportSubquery="1" supportAdvancedDrill="1" xr:uid="{54056053-BBE9-48CD-A5EB-048AEF53BCEF}">
  <cacheSource type="external" connectionId="1"/>
  <cacheFields count="8">
    <cacheField name="[Range 3].[Vendors].[Vendors]" caption="Vendors" numFmtId="0" hierarchy="19" level="1">
      <sharedItems count="6">
        <s v="1Q22"/>
        <s v="1Q23"/>
        <s v="2Q22"/>
        <s v="2Q23"/>
        <s v="3Q22"/>
        <s v="4Q22"/>
      </sharedItems>
    </cacheField>
    <cacheField name="[Measures].[Sum of OPPO 2]" caption="Sum of OPPO 2" numFmtId="0" hierarchy="48" level="32767"/>
    <cacheField name="[Measures].[Sum of Others 2]" caption="Sum of Others 2" numFmtId="0" hierarchy="49" level="32767"/>
    <cacheField name="[Measures].[Sum of Realme 2]" caption="Sum of Realme 2" numFmtId="0" hierarchy="50" level="32767"/>
    <cacheField name="[Measures].[Sum of Samsung 2]" caption="Sum of Samsung 2" numFmtId="0" hierarchy="51" level="32767"/>
    <cacheField name="[Measures].[Sum of Transsion 2]" caption="Sum of Transsion 2" numFmtId="0" hierarchy="52" level="32767"/>
    <cacheField name="[Measures].[Sum of Vivo 2]" caption="Sum of Vivo 2" numFmtId="0" hierarchy="53" level="32767"/>
    <cacheField name="[Measures].[Sum of Xiaomi 2]" caption="Sum of Xiaomi 2" numFmtId="0" hierarchy="54" level="32767"/>
  </cacheFields>
  <cacheHierarchies count="55">
    <cacheHierarchy uniqueName="[Range].[Date]" caption="Date" attribute="1" defaultMemberUniqueName="[Range].[Date].[All]" allUniqueName="[Range].[Date].[All]" dimensionUniqueName="[Range]" displayFolder="" count="0" memberValueDatatype="130" unbalanced="0"/>
    <cacheHierarchy uniqueName="[Range].[1Q21]" caption="1Q21" attribute="1" defaultMemberUniqueName="[Range].[1Q21].[All]" allUniqueName="[Range].[1Q21].[All]" dimensionUniqueName="[Range]" displayFolder="" count="0" memberValueDatatype="5" unbalanced="0"/>
    <cacheHierarchy uniqueName="[Range].[2Q21]" caption="2Q21" attribute="1" defaultMemberUniqueName="[Range].[2Q21].[All]" allUniqueName="[Range].[2Q21].[All]" dimensionUniqueName="[Range]" displayFolder="" count="0" memberValueDatatype="5" unbalanced="0"/>
    <cacheHierarchy uniqueName="[Range].[3Q21]" caption="3Q21" attribute="1" defaultMemberUniqueName="[Range].[3Q21].[All]" allUniqueName="[Range].[3Q21].[All]" dimensionUniqueName="[Range]" displayFolder="" count="0" memberValueDatatype="5" unbalanced="0"/>
    <cacheHierarchy uniqueName="[Range].[4Q21]" caption="4Q21" attribute="1" defaultMemberUniqueName="[Range].[4Q21].[All]" allUniqueName="[Range].[4Q21].[All]" dimensionUniqueName="[Range]" displayFolder="" count="0" memberValueDatatype="5" unbalanced="0"/>
    <cacheHierarchy uniqueName="[Range].[1Q22]" caption="1Q22" attribute="1" defaultMemberUniqueName="[Range].[1Q22].[All]" allUniqueName="[Range].[1Q22].[All]" dimensionUniqueName="[Range]" displayFolder="" count="0" memberValueDatatype="5" unbalanced="0"/>
    <cacheHierarchy uniqueName="[Range].[2Q22]" caption="2Q22" attribute="1" defaultMemberUniqueName="[Range].[2Q22].[All]" allUniqueName="[Range].[2Q22].[All]" dimensionUniqueName="[Range]" displayFolder="" count="0" memberValueDatatype="5" unbalanced="0"/>
    <cacheHierarchy uniqueName="[Range].[3Q22]" caption="3Q22" attribute="1" defaultMemberUniqueName="[Range].[3Q22].[All]" allUniqueName="[Range].[3Q22].[All]" dimensionUniqueName="[Range]" displayFolder="" count="0" memberValueDatatype="5" unbalanced="0"/>
    <cacheHierarchy uniqueName="[Range].[4Q22]" caption="4Q22" attribute="1" defaultMemberUniqueName="[Range].[4Q22].[All]" allUniqueName="[Range].[4Q22].[All]" dimensionUniqueName="[Range]" displayFolder="" count="0" memberValueDatatype="5" unbalanced="0"/>
    <cacheHierarchy uniqueName="[Range].[1Q23]" caption="1Q23" attribute="1" defaultMemberUniqueName="[Range].[1Q23].[All]" allUniqueName="[Range].[1Q23].[All]" dimensionUniqueName="[Range]" displayFolder="" count="0" memberValueDatatype="5" unbalanced="0"/>
    <cacheHierarchy uniqueName="[Range].[2Q23]" caption="2Q23" attribute="1" defaultMemberUniqueName="[Range].[2Q23].[All]" allUniqueName="[Range].[2Q23].[All]" dimensionUniqueName="[Range]"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Samsung]" caption="Samsung" attribute="1" defaultMemberUniqueName="[Range 1].[Samsung].[All]" allUniqueName="[Range 1].[Samsung].[All]" dimensionUniqueName="[Range 1]" displayFolder="" count="0" memberValueDatatype="5" unbalanced="0"/>
    <cacheHierarchy uniqueName="[Range 1].[OPPO]" caption="OPPO" attribute="1" defaultMemberUniqueName="[Range 1].[OPPO].[All]" allUniqueName="[Range 1].[OPPO].[All]" dimensionUniqueName="[Range 1]" displayFolder="" count="0" memberValueDatatype="5" unbalanced="0"/>
    <cacheHierarchy uniqueName="[Range 1].[Vivo]" caption="Vivo" attribute="1" defaultMemberUniqueName="[Range 1].[Vivo].[All]" allUniqueName="[Range 1].[Vivo].[All]" dimensionUniqueName="[Range 1]" displayFolder="" count="0" memberValueDatatype="5" unbalanced="0"/>
    <cacheHierarchy uniqueName="[Range 1].[Xiaomi]" caption="Xiaomi" attribute="1" defaultMemberUniqueName="[Range 1].[Xiaomi].[All]" allUniqueName="[Range 1].[Xiaomi].[All]" dimensionUniqueName="[Range 1]" displayFolder="" count="0" memberValueDatatype="5" unbalanced="0"/>
    <cacheHierarchy uniqueName="[Range 1].[Transsion]" caption="Transsion" attribute="1" defaultMemberUniqueName="[Range 1].[Transsion].[All]" allUniqueName="[Range 1].[Transsion].[All]" dimensionUniqueName="[Range 1]" displayFolder="" count="0" memberValueDatatype="5" unbalanced="0"/>
    <cacheHierarchy uniqueName="[Range 1].[Realme]" caption="Realme" attribute="1" defaultMemberUniqueName="[Range 1].[Realme].[All]" allUniqueName="[Range 1].[Realme].[All]" dimensionUniqueName="[Range 1]" displayFolder="" count="0" memberValueDatatype="5" unbalanced="0"/>
    <cacheHierarchy uniqueName="[Range 1].[Others]" caption="Others" attribute="1" defaultMemberUniqueName="[Range 1].[Others].[All]" allUniqueName="[Range 1].[Others].[All]" dimensionUniqueName="[Range 1]" displayFolder="" count="0" memberValueDatatype="5" unbalanced="0"/>
    <cacheHierarchy uniqueName="[Range 3].[Vendors]" caption="Vendors" attribute="1" defaultMemberUniqueName="[Range 3].[Vendors].[All]" allUniqueName="[Range 3].[Vendors].[All]" dimensionUniqueName="[Range 3]" displayFolder="" count="2" memberValueDatatype="130" unbalanced="0">
      <fieldsUsage count="2">
        <fieldUsage x="-1"/>
        <fieldUsage x="0"/>
      </fieldsUsage>
    </cacheHierarchy>
    <cacheHierarchy uniqueName="[Range 3].[OPPO]" caption="OPPO" attribute="1" defaultMemberUniqueName="[Range 3].[OPPO].[All]" allUniqueName="[Range 3].[OPPO].[All]" dimensionUniqueName="[Range 3]" displayFolder="" count="0" memberValueDatatype="5" unbalanced="0"/>
    <cacheHierarchy uniqueName="[Range 3].[Others]" caption="Others" attribute="1" defaultMemberUniqueName="[Range 3].[Others].[All]" allUniqueName="[Range 3].[Others].[All]" dimensionUniqueName="[Range 3]" displayFolder="" count="0" memberValueDatatype="5" unbalanced="0"/>
    <cacheHierarchy uniqueName="[Range 3].[Realme]" caption="Realme" attribute="1" defaultMemberUniqueName="[Range 3].[Realme].[All]" allUniqueName="[Range 3].[Realme].[All]" dimensionUniqueName="[Range 3]" displayFolder="" count="0" memberValueDatatype="5" unbalanced="0"/>
    <cacheHierarchy uniqueName="[Range 3].[Samsung]" caption="Samsung" attribute="1" defaultMemberUniqueName="[Range 3].[Samsung].[All]" allUniqueName="[Range 3].[Samsung].[All]" dimensionUniqueName="[Range 3]" displayFolder="" count="0" memberValueDatatype="5" unbalanced="0"/>
    <cacheHierarchy uniqueName="[Range 3].[Transsion]" caption="Transsion" attribute="1" defaultMemberUniqueName="[Range 3].[Transsion].[All]" allUniqueName="[Range 3].[Transsion].[All]" dimensionUniqueName="[Range 3]" displayFolder="" count="0" memberValueDatatype="5" unbalanced="0"/>
    <cacheHierarchy uniqueName="[Range 3].[Vivo]" caption="Vivo" attribute="1" defaultMemberUniqueName="[Range 3].[Vivo].[All]" allUniqueName="[Range 3].[Vivo].[All]" dimensionUniqueName="[Range 3]" displayFolder="" count="0" memberValueDatatype="5" unbalanced="0"/>
    <cacheHierarchy uniqueName="[Range 3].[Xiaomi]" caption="Xiaomi" attribute="1" defaultMemberUniqueName="[Range 3].[Xiaomi].[All]" allUniqueName="[Range 3].[Xiaomi].[All]" dimensionUniqueName="[Range 3]"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1Q21]" caption="Sum of 1Q21" measure="1" displayFolder="" measureGroup="Range" count="0" hidden="1">
      <extLst>
        <ext xmlns:x15="http://schemas.microsoft.com/office/spreadsheetml/2010/11/main" uri="{B97F6D7D-B522-45F9-BDA1-12C45D357490}">
          <x15:cacheHierarchy aggregatedColumn="1"/>
        </ext>
      </extLst>
    </cacheHierarchy>
    <cacheHierarchy uniqueName="[Measures].[Sum of 2Q21]" caption="Sum of 2Q21" measure="1" displayFolder="" measureGroup="Range" count="0" hidden="1">
      <extLst>
        <ext xmlns:x15="http://schemas.microsoft.com/office/spreadsheetml/2010/11/main" uri="{B97F6D7D-B522-45F9-BDA1-12C45D357490}">
          <x15:cacheHierarchy aggregatedColumn="2"/>
        </ext>
      </extLst>
    </cacheHierarchy>
    <cacheHierarchy uniqueName="[Measures].[Sum of 3Q21]" caption="Sum of 3Q21" measure="1" displayFolder="" measureGroup="Range" count="0" hidden="1">
      <extLst>
        <ext xmlns:x15="http://schemas.microsoft.com/office/spreadsheetml/2010/11/main" uri="{B97F6D7D-B522-45F9-BDA1-12C45D357490}">
          <x15:cacheHierarchy aggregatedColumn="3"/>
        </ext>
      </extLst>
    </cacheHierarchy>
    <cacheHierarchy uniqueName="[Measures].[Sum of 4Q21]" caption="Sum of 4Q21" measure="1" displayFolder="" measureGroup="Range" count="0" hidden="1">
      <extLst>
        <ext xmlns:x15="http://schemas.microsoft.com/office/spreadsheetml/2010/11/main" uri="{B97F6D7D-B522-45F9-BDA1-12C45D357490}">
          <x15:cacheHierarchy aggregatedColumn="4"/>
        </ext>
      </extLst>
    </cacheHierarchy>
    <cacheHierarchy uniqueName="[Measures].[Sum of 1Q22]" caption="Sum of 1Q22" measure="1" displayFolder="" measureGroup="Range" count="0" hidden="1">
      <extLst>
        <ext xmlns:x15="http://schemas.microsoft.com/office/spreadsheetml/2010/11/main" uri="{B97F6D7D-B522-45F9-BDA1-12C45D357490}">
          <x15:cacheHierarchy aggregatedColumn="5"/>
        </ext>
      </extLst>
    </cacheHierarchy>
    <cacheHierarchy uniqueName="[Measures].[Sum of 2Q22]" caption="Sum of 2Q22" measure="1" displayFolder="" measureGroup="Range" count="0" hidden="1">
      <extLst>
        <ext xmlns:x15="http://schemas.microsoft.com/office/spreadsheetml/2010/11/main" uri="{B97F6D7D-B522-45F9-BDA1-12C45D357490}">
          <x15:cacheHierarchy aggregatedColumn="6"/>
        </ext>
      </extLst>
    </cacheHierarchy>
    <cacheHierarchy uniqueName="[Measures].[Sum of 3Q22]" caption="Sum of 3Q22" measure="1" displayFolder="" measureGroup="Range" count="0" hidden="1">
      <extLst>
        <ext xmlns:x15="http://schemas.microsoft.com/office/spreadsheetml/2010/11/main" uri="{B97F6D7D-B522-45F9-BDA1-12C45D357490}">
          <x15:cacheHierarchy aggregatedColumn="7"/>
        </ext>
      </extLst>
    </cacheHierarchy>
    <cacheHierarchy uniqueName="[Measures].[Sum of 4Q22]" caption="Sum of 4Q22" measure="1" displayFolder="" measureGroup="Range" count="0" hidden="1">
      <extLst>
        <ext xmlns:x15="http://schemas.microsoft.com/office/spreadsheetml/2010/11/main" uri="{B97F6D7D-B522-45F9-BDA1-12C45D357490}">
          <x15:cacheHierarchy aggregatedColumn="8"/>
        </ext>
      </extLst>
    </cacheHierarchy>
    <cacheHierarchy uniqueName="[Measures].[Sum of 1Q23]" caption="Sum of 1Q23" measure="1" displayFolder="" measureGroup="Range" count="0" hidden="1">
      <extLst>
        <ext xmlns:x15="http://schemas.microsoft.com/office/spreadsheetml/2010/11/main" uri="{B97F6D7D-B522-45F9-BDA1-12C45D357490}">
          <x15:cacheHierarchy aggregatedColumn="9"/>
        </ext>
      </extLst>
    </cacheHierarchy>
    <cacheHierarchy uniqueName="[Measures].[Sum of 2Q23]" caption="Sum of 2Q23" measure="1" displayFolder="" measureGroup="Range" count="0" hidden="1">
      <extLst>
        <ext xmlns:x15="http://schemas.microsoft.com/office/spreadsheetml/2010/11/main" uri="{B97F6D7D-B522-45F9-BDA1-12C45D357490}">
          <x15:cacheHierarchy aggregatedColumn="10"/>
        </ext>
      </extLst>
    </cacheHierarchy>
    <cacheHierarchy uniqueName="[Measures].[Sum of Samsung]" caption="Sum of Samsung" measure="1" displayFolder="" measureGroup="Range 1" count="0" hidden="1">
      <extLst>
        <ext xmlns:x15="http://schemas.microsoft.com/office/spreadsheetml/2010/11/main" uri="{B97F6D7D-B522-45F9-BDA1-12C45D357490}">
          <x15:cacheHierarchy aggregatedColumn="12"/>
        </ext>
      </extLst>
    </cacheHierarchy>
    <cacheHierarchy uniqueName="[Measures].[Sum of OPPO]" caption="Sum of OPPO" measure="1" displayFolder="" measureGroup="Range 1" count="0" hidden="1">
      <extLst>
        <ext xmlns:x15="http://schemas.microsoft.com/office/spreadsheetml/2010/11/main" uri="{B97F6D7D-B522-45F9-BDA1-12C45D357490}">
          <x15:cacheHierarchy aggregatedColumn="13"/>
        </ext>
      </extLst>
    </cacheHierarchy>
    <cacheHierarchy uniqueName="[Measures].[Sum of Vivo]" caption="Sum of Vivo" measure="1" displayFolder="" measureGroup="Range 1" count="0" hidden="1">
      <extLst>
        <ext xmlns:x15="http://schemas.microsoft.com/office/spreadsheetml/2010/11/main" uri="{B97F6D7D-B522-45F9-BDA1-12C45D357490}">
          <x15:cacheHierarchy aggregatedColumn="14"/>
        </ext>
      </extLst>
    </cacheHierarchy>
    <cacheHierarchy uniqueName="[Measures].[Sum of Xiaomi]" caption="Sum of Xiaomi" measure="1" displayFolder="" measureGroup="Range 1" count="0" hidden="1">
      <extLst>
        <ext xmlns:x15="http://schemas.microsoft.com/office/spreadsheetml/2010/11/main" uri="{B97F6D7D-B522-45F9-BDA1-12C45D357490}">
          <x15:cacheHierarchy aggregatedColumn="15"/>
        </ext>
      </extLst>
    </cacheHierarchy>
    <cacheHierarchy uniqueName="[Measures].[Sum of Transsion]" caption="Sum of Transsion" measure="1" displayFolder="" measureGroup="Range 1" count="0" hidden="1">
      <extLst>
        <ext xmlns:x15="http://schemas.microsoft.com/office/spreadsheetml/2010/11/main" uri="{B97F6D7D-B522-45F9-BDA1-12C45D357490}">
          <x15:cacheHierarchy aggregatedColumn="16"/>
        </ext>
      </extLst>
    </cacheHierarchy>
    <cacheHierarchy uniqueName="[Measures].[Sum of Realme]" caption="Sum of Realme" measure="1" displayFolder="" measureGroup="Range 1" count="0" hidden="1">
      <extLst>
        <ext xmlns:x15="http://schemas.microsoft.com/office/spreadsheetml/2010/11/main" uri="{B97F6D7D-B522-45F9-BDA1-12C45D357490}">
          <x15:cacheHierarchy aggregatedColumn="17"/>
        </ext>
      </extLst>
    </cacheHierarchy>
    <cacheHierarchy uniqueName="[Measures].[Sum of Others]" caption="Sum of Others" measure="1" displayFolder="" measureGroup="Range 1" count="0" hidden="1">
      <extLst>
        <ext xmlns:x15="http://schemas.microsoft.com/office/spreadsheetml/2010/11/main" uri="{B97F6D7D-B522-45F9-BDA1-12C45D357490}">
          <x15:cacheHierarchy aggregatedColumn="18"/>
        </ext>
      </extLst>
    </cacheHierarchy>
    <cacheHierarchy uniqueName="[Measures].[Sum of OPPO 2]" caption="Sum of OPPO 2" measure="1" displayFolder="" measureGroup="Range 3"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Others 2]" caption="Sum of Others 2" measure="1" displayFolder="" measureGroup="Range 3"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Realme 2]" caption="Sum of Realme 2" measure="1" displayFolder="" measureGroup="Range 3"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Samsung 2]" caption="Sum of Samsung 2" measure="1" displayFolder="" measureGroup="Range 3"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Transsion 2]" caption="Sum of Transsion 2" measure="1" displayFolder="" measureGroup="Range 3" count="0" oneField="1" hidden="1">
      <fieldsUsage count="1">
        <fieldUsage x="5"/>
      </fieldsUsage>
      <extLst>
        <ext xmlns:x15="http://schemas.microsoft.com/office/spreadsheetml/2010/11/main" uri="{B97F6D7D-B522-45F9-BDA1-12C45D357490}">
          <x15:cacheHierarchy aggregatedColumn="24"/>
        </ext>
      </extLst>
    </cacheHierarchy>
    <cacheHierarchy uniqueName="[Measures].[Sum of Vivo 2]" caption="Sum of Vivo 2" measure="1" displayFolder="" measureGroup="Range 3" count="0" oneField="1" hidden="1">
      <fieldsUsage count="1">
        <fieldUsage x="6"/>
      </fieldsUsage>
      <extLst>
        <ext xmlns:x15="http://schemas.microsoft.com/office/spreadsheetml/2010/11/main" uri="{B97F6D7D-B522-45F9-BDA1-12C45D357490}">
          <x15:cacheHierarchy aggregatedColumn="25"/>
        </ext>
      </extLst>
    </cacheHierarchy>
    <cacheHierarchy uniqueName="[Measures].[Sum of Xiaomi 2]" caption="Sum of Xiaomi 2" measure="1" displayFolder="" measureGroup="Range 3" count="0" oneField="1" hidden="1">
      <fieldsUsage count="1">
        <fieldUsage x="7"/>
      </fieldsUsage>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Range" uniqueName="[Range]" caption="Range"/>
    <dimension name="Range 1" uniqueName="[Range 1]" caption="Range 1"/>
    <dimension name="Range 3" uniqueName="[Range 3]" caption="Range 3"/>
  </dimensions>
  <measureGroups count="3">
    <measureGroup name="Range" caption="Range"/>
    <measureGroup name="Range 1" caption="Range 1"/>
    <measureGroup name="Range 3" caption="Range 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7.926710995373" backgroundQuery="1" createdVersion="8" refreshedVersion="8" minRefreshableVersion="3" recordCount="0" supportSubquery="1" supportAdvancedDrill="1" xr:uid="{E581AEAC-B42E-4AF4-92F0-D06E19B868B0}">
  <cacheSource type="external" connectionId="1"/>
  <cacheFields count="11">
    <cacheField name="[Range].[Date].[Date]" caption="Date" numFmtId="0" level="1">
      <sharedItems count="7">
        <s v="OPPO"/>
        <s v="Others"/>
        <s v="Realme"/>
        <s v="Samsung"/>
        <s v="Transsion"/>
        <s v="Vivo"/>
        <s v="Xiaomi"/>
      </sharedItems>
    </cacheField>
    <cacheField name="[Measures].[Sum of 1Q21]" caption="Sum of 1Q21" numFmtId="0" hierarchy="31" level="32767"/>
    <cacheField name="[Measures].[Sum of 2Q21]" caption="Sum of 2Q21" numFmtId="0" hierarchy="32" level="32767"/>
    <cacheField name="[Measures].[Sum of 3Q21]" caption="Sum of 3Q21" numFmtId="0" hierarchy="33" level="32767"/>
    <cacheField name="[Measures].[Sum of 4Q21]" caption="Sum of 4Q21" numFmtId="0" hierarchy="34" level="32767"/>
    <cacheField name="[Measures].[Sum of 1Q22]" caption="Sum of 1Q22" numFmtId="0" hierarchy="35" level="32767"/>
    <cacheField name="[Measures].[Sum of 2Q22]" caption="Sum of 2Q22" numFmtId="0" hierarchy="36" level="32767"/>
    <cacheField name="[Measures].[Sum of 3Q22]" caption="Sum of 3Q22" numFmtId="0" hierarchy="37" level="32767"/>
    <cacheField name="[Measures].[Sum of 4Q22]" caption="Sum of 4Q22" numFmtId="0" hierarchy="38" level="32767"/>
    <cacheField name="[Measures].[Sum of 1Q23]" caption="Sum of 1Q23" numFmtId="0" hierarchy="39" level="32767"/>
    <cacheField name="[Measures].[Sum of 2Q23]" caption="Sum of 2Q23" numFmtId="0" hierarchy="40" level="32767"/>
  </cacheFields>
  <cacheHierarchies count="55">
    <cacheHierarchy uniqueName="[Range].[Date]" caption="Date" attribute="1" defaultMemberUniqueName="[Range].[Date].[All]" allUniqueName="[Range].[Date].[All]" dimensionUniqueName="[Range]" displayFolder="" count="2" memberValueDatatype="130" unbalanced="0">
      <fieldsUsage count="2">
        <fieldUsage x="-1"/>
        <fieldUsage x="0"/>
      </fieldsUsage>
    </cacheHierarchy>
    <cacheHierarchy uniqueName="[Range].[1Q21]" caption="1Q21" attribute="1" defaultMemberUniqueName="[Range].[1Q21].[All]" allUniqueName="[Range].[1Q21].[All]" dimensionUniqueName="[Range]" displayFolder="" count="0" memberValueDatatype="5" unbalanced="0"/>
    <cacheHierarchy uniqueName="[Range].[2Q21]" caption="2Q21" attribute="1" defaultMemberUniqueName="[Range].[2Q21].[All]" allUniqueName="[Range].[2Q21].[All]" dimensionUniqueName="[Range]" displayFolder="" count="0" memberValueDatatype="5" unbalanced="0"/>
    <cacheHierarchy uniqueName="[Range].[3Q21]" caption="3Q21" attribute="1" defaultMemberUniqueName="[Range].[3Q21].[All]" allUniqueName="[Range].[3Q21].[All]" dimensionUniqueName="[Range]" displayFolder="" count="0" memberValueDatatype="5" unbalanced="0"/>
    <cacheHierarchy uniqueName="[Range].[4Q21]" caption="4Q21" attribute="1" defaultMemberUniqueName="[Range].[4Q21].[All]" allUniqueName="[Range].[4Q21].[All]" dimensionUniqueName="[Range]" displayFolder="" count="0" memberValueDatatype="5" unbalanced="0"/>
    <cacheHierarchy uniqueName="[Range].[1Q22]" caption="1Q22" attribute="1" defaultMemberUniqueName="[Range].[1Q22].[All]" allUniqueName="[Range].[1Q22].[All]" dimensionUniqueName="[Range]" displayFolder="" count="0" memberValueDatatype="5" unbalanced="0"/>
    <cacheHierarchy uniqueName="[Range].[2Q22]" caption="2Q22" attribute="1" defaultMemberUniqueName="[Range].[2Q22].[All]" allUniqueName="[Range].[2Q22].[All]" dimensionUniqueName="[Range]" displayFolder="" count="0" memberValueDatatype="5" unbalanced="0"/>
    <cacheHierarchy uniqueName="[Range].[3Q22]" caption="3Q22" attribute="1" defaultMemberUniqueName="[Range].[3Q22].[All]" allUniqueName="[Range].[3Q22].[All]" dimensionUniqueName="[Range]" displayFolder="" count="0" memberValueDatatype="5" unbalanced="0"/>
    <cacheHierarchy uniqueName="[Range].[4Q22]" caption="4Q22" attribute="1" defaultMemberUniqueName="[Range].[4Q22].[All]" allUniqueName="[Range].[4Q22].[All]" dimensionUniqueName="[Range]" displayFolder="" count="0" memberValueDatatype="5" unbalanced="0"/>
    <cacheHierarchy uniqueName="[Range].[1Q23]" caption="1Q23" attribute="1" defaultMemberUniqueName="[Range].[1Q23].[All]" allUniqueName="[Range].[1Q23].[All]" dimensionUniqueName="[Range]" displayFolder="" count="0" memberValueDatatype="5" unbalanced="0"/>
    <cacheHierarchy uniqueName="[Range].[2Q23]" caption="2Q23" attribute="1" defaultMemberUniqueName="[Range].[2Q23].[All]" allUniqueName="[Range].[2Q23].[All]" dimensionUniqueName="[Range]"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Samsung]" caption="Samsung" attribute="1" defaultMemberUniqueName="[Range 1].[Samsung].[All]" allUniqueName="[Range 1].[Samsung].[All]" dimensionUniqueName="[Range 1]" displayFolder="" count="0" memberValueDatatype="5" unbalanced="0"/>
    <cacheHierarchy uniqueName="[Range 1].[OPPO]" caption="OPPO" attribute="1" defaultMemberUniqueName="[Range 1].[OPPO].[All]" allUniqueName="[Range 1].[OPPO].[All]" dimensionUniqueName="[Range 1]" displayFolder="" count="0" memberValueDatatype="5" unbalanced="0"/>
    <cacheHierarchy uniqueName="[Range 1].[Vivo]" caption="Vivo" attribute="1" defaultMemberUniqueName="[Range 1].[Vivo].[All]" allUniqueName="[Range 1].[Vivo].[All]" dimensionUniqueName="[Range 1]" displayFolder="" count="0" memberValueDatatype="5" unbalanced="0"/>
    <cacheHierarchy uniqueName="[Range 1].[Xiaomi]" caption="Xiaomi" attribute="1" defaultMemberUniqueName="[Range 1].[Xiaomi].[All]" allUniqueName="[Range 1].[Xiaomi].[All]" dimensionUniqueName="[Range 1]" displayFolder="" count="0" memberValueDatatype="5" unbalanced="0"/>
    <cacheHierarchy uniqueName="[Range 1].[Transsion]" caption="Transsion" attribute="1" defaultMemberUniqueName="[Range 1].[Transsion].[All]" allUniqueName="[Range 1].[Transsion].[All]" dimensionUniqueName="[Range 1]" displayFolder="" count="0" memberValueDatatype="5" unbalanced="0"/>
    <cacheHierarchy uniqueName="[Range 1].[Realme]" caption="Realme" attribute="1" defaultMemberUniqueName="[Range 1].[Realme].[All]" allUniqueName="[Range 1].[Realme].[All]" dimensionUniqueName="[Range 1]" displayFolder="" count="0" memberValueDatatype="5" unbalanced="0"/>
    <cacheHierarchy uniqueName="[Range 1].[Others]" caption="Others" attribute="1" defaultMemberUniqueName="[Range 1].[Others].[All]" allUniqueName="[Range 1].[Others].[All]" dimensionUniqueName="[Range 1]" displayFolder="" count="0" memberValueDatatype="5" unbalanced="0"/>
    <cacheHierarchy uniqueName="[Range 3].[Vendors]" caption="Vendors" attribute="1" defaultMemberUniqueName="[Range 3].[Vendors].[All]" allUniqueName="[Range 3].[Vendors].[All]" dimensionUniqueName="[Range 3]" displayFolder="" count="0" memberValueDatatype="130" unbalanced="0"/>
    <cacheHierarchy uniqueName="[Range 3].[OPPO]" caption="OPPO" attribute="1" defaultMemberUniqueName="[Range 3].[OPPO].[All]" allUniqueName="[Range 3].[OPPO].[All]" dimensionUniqueName="[Range 3]" displayFolder="" count="0" memberValueDatatype="5" unbalanced="0"/>
    <cacheHierarchy uniqueName="[Range 3].[Others]" caption="Others" attribute="1" defaultMemberUniqueName="[Range 3].[Others].[All]" allUniqueName="[Range 3].[Others].[All]" dimensionUniqueName="[Range 3]" displayFolder="" count="0" memberValueDatatype="5" unbalanced="0"/>
    <cacheHierarchy uniqueName="[Range 3].[Realme]" caption="Realme" attribute="1" defaultMemberUniqueName="[Range 3].[Realme].[All]" allUniqueName="[Range 3].[Realme].[All]" dimensionUniqueName="[Range 3]" displayFolder="" count="0" memberValueDatatype="5" unbalanced="0"/>
    <cacheHierarchy uniqueName="[Range 3].[Samsung]" caption="Samsung" attribute="1" defaultMemberUniqueName="[Range 3].[Samsung].[All]" allUniqueName="[Range 3].[Samsung].[All]" dimensionUniqueName="[Range 3]" displayFolder="" count="0" memberValueDatatype="5" unbalanced="0"/>
    <cacheHierarchy uniqueName="[Range 3].[Transsion]" caption="Transsion" attribute="1" defaultMemberUniqueName="[Range 3].[Transsion].[All]" allUniqueName="[Range 3].[Transsion].[All]" dimensionUniqueName="[Range 3]" displayFolder="" count="0" memberValueDatatype="5" unbalanced="0"/>
    <cacheHierarchy uniqueName="[Range 3].[Vivo]" caption="Vivo" attribute="1" defaultMemberUniqueName="[Range 3].[Vivo].[All]" allUniqueName="[Range 3].[Vivo].[All]" dimensionUniqueName="[Range 3]" displayFolder="" count="0" memberValueDatatype="5" unbalanced="0"/>
    <cacheHierarchy uniqueName="[Range 3].[Xiaomi]" caption="Xiaomi" attribute="1" defaultMemberUniqueName="[Range 3].[Xiaomi].[All]" allUniqueName="[Range 3].[Xiaomi].[All]" dimensionUniqueName="[Range 3]"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1Q21]" caption="Sum of 1Q21"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2Q21]" caption="Sum of 2Q21"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3Q21]" caption="Sum of 3Q21"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4Q21]" caption="Sum of 4Q21"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1Q22]" caption="Sum of 1Q22" measure="1" displayFolder="" measureGroup="Range"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2Q22]" caption="Sum of 2Q22" measure="1" displayFolder="" measureGroup="Range" count="0" oneField="1" hidden="1">
      <fieldsUsage count="1">
        <fieldUsage x="6"/>
      </fieldsUsage>
      <extLst>
        <ext xmlns:x15="http://schemas.microsoft.com/office/spreadsheetml/2010/11/main" uri="{B97F6D7D-B522-45F9-BDA1-12C45D357490}">
          <x15:cacheHierarchy aggregatedColumn="6"/>
        </ext>
      </extLst>
    </cacheHierarchy>
    <cacheHierarchy uniqueName="[Measures].[Sum of 3Q22]" caption="Sum of 3Q22" measure="1" displayFolder="" measureGroup="Range" count="0" oneField="1" hidden="1">
      <fieldsUsage count="1">
        <fieldUsage x="7"/>
      </fieldsUsage>
      <extLst>
        <ext xmlns:x15="http://schemas.microsoft.com/office/spreadsheetml/2010/11/main" uri="{B97F6D7D-B522-45F9-BDA1-12C45D357490}">
          <x15:cacheHierarchy aggregatedColumn="7"/>
        </ext>
      </extLst>
    </cacheHierarchy>
    <cacheHierarchy uniqueName="[Measures].[Sum of 4Q22]" caption="Sum of 4Q22" measure="1" displayFolder="" measureGroup="Range" count="0" oneField="1" hidden="1">
      <fieldsUsage count="1">
        <fieldUsage x="8"/>
      </fieldsUsage>
      <extLst>
        <ext xmlns:x15="http://schemas.microsoft.com/office/spreadsheetml/2010/11/main" uri="{B97F6D7D-B522-45F9-BDA1-12C45D357490}">
          <x15:cacheHierarchy aggregatedColumn="8"/>
        </ext>
      </extLst>
    </cacheHierarchy>
    <cacheHierarchy uniqueName="[Measures].[Sum of 1Q23]" caption="Sum of 1Q23" measure="1" displayFolder="" measureGroup="Range" count="0" oneField="1" hidden="1">
      <fieldsUsage count="1">
        <fieldUsage x="9"/>
      </fieldsUsage>
      <extLst>
        <ext xmlns:x15="http://schemas.microsoft.com/office/spreadsheetml/2010/11/main" uri="{B97F6D7D-B522-45F9-BDA1-12C45D357490}">
          <x15:cacheHierarchy aggregatedColumn="9"/>
        </ext>
      </extLst>
    </cacheHierarchy>
    <cacheHierarchy uniqueName="[Measures].[Sum of 2Q23]" caption="Sum of 2Q23" measure="1" displayFolder="" measureGroup="Range" count="0" oneField="1" hidden="1">
      <fieldsUsage count="1">
        <fieldUsage x="10"/>
      </fieldsUsage>
      <extLst>
        <ext xmlns:x15="http://schemas.microsoft.com/office/spreadsheetml/2010/11/main" uri="{B97F6D7D-B522-45F9-BDA1-12C45D357490}">
          <x15:cacheHierarchy aggregatedColumn="10"/>
        </ext>
      </extLst>
    </cacheHierarchy>
    <cacheHierarchy uniqueName="[Measures].[Sum of Samsung]" caption="Sum of Samsung" measure="1" displayFolder="" measureGroup="Range 1" count="0" hidden="1">
      <extLst>
        <ext xmlns:x15="http://schemas.microsoft.com/office/spreadsheetml/2010/11/main" uri="{B97F6D7D-B522-45F9-BDA1-12C45D357490}">
          <x15:cacheHierarchy aggregatedColumn="12"/>
        </ext>
      </extLst>
    </cacheHierarchy>
    <cacheHierarchy uniqueName="[Measures].[Sum of OPPO]" caption="Sum of OPPO" measure="1" displayFolder="" measureGroup="Range 1" count="0" hidden="1">
      <extLst>
        <ext xmlns:x15="http://schemas.microsoft.com/office/spreadsheetml/2010/11/main" uri="{B97F6D7D-B522-45F9-BDA1-12C45D357490}">
          <x15:cacheHierarchy aggregatedColumn="13"/>
        </ext>
      </extLst>
    </cacheHierarchy>
    <cacheHierarchy uniqueName="[Measures].[Sum of Vivo]" caption="Sum of Vivo" measure="1" displayFolder="" measureGroup="Range 1" count="0" hidden="1">
      <extLst>
        <ext xmlns:x15="http://schemas.microsoft.com/office/spreadsheetml/2010/11/main" uri="{B97F6D7D-B522-45F9-BDA1-12C45D357490}">
          <x15:cacheHierarchy aggregatedColumn="14"/>
        </ext>
      </extLst>
    </cacheHierarchy>
    <cacheHierarchy uniqueName="[Measures].[Sum of Xiaomi]" caption="Sum of Xiaomi" measure="1" displayFolder="" measureGroup="Range 1" count="0" hidden="1">
      <extLst>
        <ext xmlns:x15="http://schemas.microsoft.com/office/spreadsheetml/2010/11/main" uri="{B97F6D7D-B522-45F9-BDA1-12C45D357490}">
          <x15:cacheHierarchy aggregatedColumn="15"/>
        </ext>
      </extLst>
    </cacheHierarchy>
    <cacheHierarchy uniqueName="[Measures].[Sum of Transsion]" caption="Sum of Transsion" measure="1" displayFolder="" measureGroup="Range 1" count="0" hidden="1">
      <extLst>
        <ext xmlns:x15="http://schemas.microsoft.com/office/spreadsheetml/2010/11/main" uri="{B97F6D7D-B522-45F9-BDA1-12C45D357490}">
          <x15:cacheHierarchy aggregatedColumn="16"/>
        </ext>
      </extLst>
    </cacheHierarchy>
    <cacheHierarchy uniqueName="[Measures].[Sum of Realme]" caption="Sum of Realme" measure="1" displayFolder="" measureGroup="Range 1" count="0" hidden="1">
      <extLst>
        <ext xmlns:x15="http://schemas.microsoft.com/office/spreadsheetml/2010/11/main" uri="{B97F6D7D-B522-45F9-BDA1-12C45D357490}">
          <x15:cacheHierarchy aggregatedColumn="17"/>
        </ext>
      </extLst>
    </cacheHierarchy>
    <cacheHierarchy uniqueName="[Measures].[Sum of Others]" caption="Sum of Others" measure="1" displayFolder="" measureGroup="Range 1" count="0" hidden="1">
      <extLst>
        <ext xmlns:x15="http://schemas.microsoft.com/office/spreadsheetml/2010/11/main" uri="{B97F6D7D-B522-45F9-BDA1-12C45D357490}">
          <x15:cacheHierarchy aggregatedColumn="18"/>
        </ext>
      </extLst>
    </cacheHierarchy>
    <cacheHierarchy uniqueName="[Measures].[Sum of OPPO 2]" caption="Sum of OPPO 2" measure="1" displayFolder="" measureGroup="Range 3" count="0" hidden="1">
      <extLst>
        <ext xmlns:x15="http://schemas.microsoft.com/office/spreadsheetml/2010/11/main" uri="{B97F6D7D-B522-45F9-BDA1-12C45D357490}">
          <x15:cacheHierarchy aggregatedColumn="20"/>
        </ext>
      </extLst>
    </cacheHierarchy>
    <cacheHierarchy uniqueName="[Measures].[Sum of Others 2]" caption="Sum of Others 2" measure="1" displayFolder="" measureGroup="Range 3" count="0" hidden="1">
      <extLst>
        <ext xmlns:x15="http://schemas.microsoft.com/office/spreadsheetml/2010/11/main" uri="{B97F6D7D-B522-45F9-BDA1-12C45D357490}">
          <x15:cacheHierarchy aggregatedColumn="21"/>
        </ext>
      </extLst>
    </cacheHierarchy>
    <cacheHierarchy uniqueName="[Measures].[Sum of Realme 2]" caption="Sum of Realme 2" measure="1" displayFolder="" measureGroup="Range 3" count="0" hidden="1">
      <extLst>
        <ext xmlns:x15="http://schemas.microsoft.com/office/spreadsheetml/2010/11/main" uri="{B97F6D7D-B522-45F9-BDA1-12C45D357490}">
          <x15:cacheHierarchy aggregatedColumn="22"/>
        </ext>
      </extLst>
    </cacheHierarchy>
    <cacheHierarchy uniqueName="[Measures].[Sum of Samsung 2]" caption="Sum of Samsung 2" measure="1" displayFolder="" measureGroup="Range 3" count="0" hidden="1">
      <extLst>
        <ext xmlns:x15="http://schemas.microsoft.com/office/spreadsheetml/2010/11/main" uri="{B97F6D7D-B522-45F9-BDA1-12C45D357490}">
          <x15:cacheHierarchy aggregatedColumn="23"/>
        </ext>
      </extLst>
    </cacheHierarchy>
    <cacheHierarchy uniqueName="[Measures].[Sum of Transsion 2]" caption="Sum of Transsion 2" measure="1" displayFolder="" measureGroup="Range 3" count="0" hidden="1">
      <extLst>
        <ext xmlns:x15="http://schemas.microsoft.com/office/spreadsheetml/2010/11/main" uri="{B97F6D7D-B522-45F9-BDA1-12C45D357490}">
          <x15:cacheHierarchy aggregatedColumn="24"/>
        </ext>
      </extLst>
    </cacheHierarchy>
    <cacheHierarchy uniqueName="[Measures].[Sum of Vivo 2]" caption="Sum of Vivo 2" measure="1" displayFolder="" measureGroup="Range 3" count="0" hidden="1">
      <extLst>
        <ext xmlns:x15="http://schemas.microsoft.com/office/spreadsheetml/2010/11/main" uri="{B97F6D7D-B522-45F9-BDA1-12C45D357490}">
          <x15:cacheHierarchy aggregatedColumn="25"/>
        </ext>
      </extLst>
    </cacheHierarchy>
    <cacheHierarchy uniqueName="[Measures].[Sum of Xiaomi 2]" caption="Sum of Xiaomi 2" measure="1" displayFolder="" measureGroup="Range 3"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Range" uniqueName="[Range]" caption="Range"/>
    <dimension name="Range 1" uniqueName="[Range 1]" caption="Range 1"/>
    <dimension name="Range 3" uniqueName="[Range 3]" caption="Range 3"/>
  </dimensions>
  <measureGroups count="3">
    <measureGroup name="Range" caption="Range"/>
    <measureGroup name="Range 1" caption="Range 1"/>
    <measureGroup name="Range 3" caption="Range 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8.851734722222" backgroundQuery="1" createdVersion="8" refreshedVersion="8" minRefreshableVersion="3" recordCount="0" supportSubquery="1" supportAdvancedDrill="1" xr:uid="{EC76CF98-21A1-430B-95C7-55DF25D4BABE}">
  <cacheSource type="external" connectionId="1"/>
  <cacheFields count="8">
    <cacheField name="[Range 1].[Date].[Date]" caption="Date" numFmtId="0" hierarchy="11" level="1">
      <sharedItems count="1">
        <s v="4Q21"/>
      </sharedItems>
    </cacheField>
    <cacheField name="[Measures].[Sum of Samsung]" caption="Sum of Samsung" numFmtId="0" hierarchy="41" level="32767"/>
    <cacheField name="[Measures].[Sum of OPPO]" caption="Sum of OPPO" numFmtId="0" hierarchy="42" level="32767"/>
    <cacheField name="[Measures].[Sum of Vivo]" caption="Sum of Vivo" numFmtId="0" hierarchy="43" level="32767"/>
    <cacheField name="[Measures].[Sum of Xiaomi]" caption="Sum of Xiaomi" numFmtId="0" hierarchy="44" level="32767"/>
    <cacheField name="[Measures].[Sum of Transsion]" caption="Sum of Transsion" numFmtId="0" hierarchy="45" level="32767"/>
    <cacheField name="[Measures].[Sum of Realme]" caption="Sum of Realme" numFmtId="0" hierarchy="46" level="32767"/>
    <cacheField name="[Measures].[Sum of Others]" caption="Sum of Others" numFmtId="0" hierarchy="47" level="32767"/>
  </cacheFields>
  <cacheHierarchies count="55">
    <cacheHierarchy uniqueName="[Range].[Date]" caption="Date" attribute="1" defaultMemberUniqueName="[Range].[Date].[All]" allUniqueName="[Range].[Date].[All]" dimensionUniqueName="[Range]" displayFolder="" count="0" memberValueDatatype="130" unbalanced="0"/>
    <cacheHierarchy uniqueName="[Range].[1Q21]" caption="1Q21" attribute="1" defaultMemberUniqueName="[Range].[1Q21].[All]" allUniqueName="[Range].[1Q21].[All]" dimensionUniqueName="[Range]" displayFolder="" count="0" memberValueDatatype="5" unbalanced="0"/>
    <cacheHierarchy uniqueName="[Range].[2Q21]" caption="2Q21" attribute="1" defaultMemberUniqueName="[Range].[2Q21].[All]" allUniqueName="[Range].[2Q21].[All]" dimensionUniqueName="[Range]" displayFolder="" count="0" memberValueDatatype="5" unbalanced="0"/>
    <cacheHierarchy uniqueName="[Range].[3Q21]" caption="3Q21" attribute="1" defaultMemberUniqueName="[Range].[3Q21].[All]" allUniqueName="[Range].[3Q21].[All]" dimensionUniqueName="[Range]" displayFolder="" count="0" memberValueDatatype="5" unbalanced="0"/>
    <cacheHierarchy uniqueName="[Range].[4Q21]" caption="4Q21" attribute="1" defaultMemberUniqueName="[Range].[4Q21].[All]" allUniqueName="[Range].[4Q21].[All]" dimensionUniqueName="[Range]" displayFolder="" count="0" memberValueDatatype="5" unbalanced="0"/>
    <cacheHierarchy uniqueName="[Range].[1Q22]" caption="1Q22" attribute="1" defaultMemberUniqueName="[Range].[1Q22].[All]" allUniqueName="[Range].[1Q22].[All]" dimensionUniqueName="[Range]" displayFolder="" count="0" memberValueDatatype="5" unbalanced="0"/>
    <cacheHierarchy uniqueName="[Range].[2Q22]" caption="2Q22" attribute="1" defaultMemberUniqueName="[Range].[2Q22].[All]" allUniqueName="[Range].[2Q22].[All]" dimensionUniqueName="[Range]" displayFolder="" count="0" memberValueDatatype="5" unbalanced="0"/>
    <cacheHierarchy uniqueName="[Range].[3Q22]" caption="3Q22" attribute="1" defaultMemberUniqueName="[Range].[3Q22].[All]" allUniqueName="[Range].[3Q22].[All]" dimensionUniqueName="[Range]" displayFolder="" count="0" memberValueDatatype="5" unbalanced="0"/>
    <cacheHierarchy uniqueName="[Range].[4Q22]" caption="4Q22" attribute="1" defaultMemberUniqueName="[Range].[4Q22].[All]" allUniqueName="[Range].[4Q22].[All]" dimensionUniqueName="[Range]" displayFolder="" count="0" memberValueDatatype="5" unbalanced="0"/>
    <cacheHierarchy uniqueName="[Range].[1Q23]" caption="1Q23" attribute="1" defaultMemberUniqueName="[Range].[1Q23].[All]" allUniqueName="[Range].[1Q23].[All]" dimensionUniqueName="[Range]" displayFolder="" count="0" memberValueDatatype="5" unbalanced="0"/>
    <cacheHierarchy uniqueName="[Range].[2Q23]" caption="2Q23" attribute="1" defaultMemberUniqueName="[Range].[2Q23].[All]" allUniqueName="[Range].[2Q23].[All]" dimensionUniqueName="[Range]" displayFolder="" count="0" memberValueDatatype="5" unbalanced="0"/>
    <cacheHierarchy uniqueName="[Range 1].[Date]" caption="Date" attribute="1" defaultMemberUniqueName="[Range 1].[Date].[All]" allUniqueName="[Range 1].[Date].[All]" dimensionUniqueName="[Range 1]" displayFolder="" count="2" memberValueDatatype="130" unbalanced="0">
      <fieldsUsage count="2">
        <fieldUsage x="-1"/>
        <fieldUsage x="0"/>
      </fieldsUsage>
    </cacheHierarchy>
    <cacheHierarchy uniqueName="[Range 1].[Samsung]" caption="Samsung" attribute="1" defaultMemberUniqueName="[Range 1].[Samsung].[All]" allUniqueName="[Range 1].[Samsung].[All]" dimensionUniqueName="[Range 1]" displayFolder="" count="0" memberValueDatatype="5" unbalanced="0"/>
    <cacheHierarchy uniqueName="[Range 1].[OPPO]" caption="OPPO" attribute="1" defaultMemberUniqueName="[Range 1].[OPPO].[All]" allUniqueName="[Range 1].[OPPO].[All]" dimensionUniqueName="[Range 1]" displayFolder="" count="0" memberValueDatatype="5" unbalanced="0"/>
    <cacheHierarchy uniqueName="[Range 1].[Vivo]" caption="Vivo" attribute="1" defaultMemberUniqueName="[Range 1].[Vivo].[All]" allUniqueName="[Range 1].[Vivo].[All]" dimensionUniqueName="[Range 1]" displayFolder="" count="0" memberValueDatatype="5" unbalanced="0"/>
    <cacheHierarchy uniqueName="[Range 1].[Xiaomi]" caption="Xiaomi" attribute="1" defaultMemberUniqueName="[Range 1].[Xiaomi].[All]" allUniqueName="[Range 1].[Xiaomi].[All]" dimensionUniqueName="[Range 1]" displayFolder="" count="0" memberValueDatatype="5" unbalanced="0"/>
    <cacheHierarchy uniqueName="[Range 1].[Transsion]" caption="Transsion" attribute="1" defaultMemberUniqueName="[Range 1].[Transsion].[All]" allUniqueName="[Range 1].[Transsion].[All]" dimensionUniqueName="[Range 1]" displayFolder="" count="0" memberValueDatatype="5" unbalanced="0"/>
    <cacheHierarchy uniqueName="[Range 1].[Realme]" caption="Realme" attribute="1" defaultMemberUniqueName="[Range 1].[Realme].[All]" allUniqueName="[Range 1].[Realme].[All]" dimensionUniqueName="[Range 1]" displayFolder="" count="0" memberValueDatatype="5" unbalanced="0"/>
    <cacheHierarchy uniqueName="[Range 1].[Others]" caption="Others" attribute="1" defaultMemberUniqueName="[Range 1].[Others].[All]" allUniqueName="[Range 1].[Others].[All]" dimensionUniqueName="[Range 1]" displayFolder="" count="0" memberValueDatatype="5" unbalanced="0"/>
    <cacheHierarchy uniqueName="[Range 3].[Vendors]" caption="Vendors" attribute="1" defaultMemberUniqueName="[Range 3].[Vendors].[All]" allUniqueName="[Range 3].[Vendors].[All]" dimensionUniqueName="[Range 3]" displayFolder="" count="0" memberValueDatatype="130" unbalanced="0"/>
    <cacheHierarchy uniqueName="[Range 3].[OPPO]" caption="OPPO" attribute="1" defaultMemberUniqueName="[Range 3].[OPPO].[All]" allUniqueName="[Range 3].[OPPO].[All]" dimensionUniqueName="[Range 3]" displayFolder="" count="0" memberValueDatatype="5" unbalanced="0"/>
    <cacheHierarchy uniqueName="[Range 3].[Others]" caption="Others" attribute="1" defaultMemberUniqueName="[Range 3].[Others].[All]" allUniqueName="[Range 3].[Others].[All]" dimensionUniqueName="[Range 3]" displayFolder="" count="0" memberValueDatatype="5" unbalanced="0"/>
    <cacheHierarchy uniqueName="[Range 3].[Realme]" caption="Realme" attribute="1" defaultMemberUniqueName="[Range 3].[Realme].[All]" allUniqueName="[Range 3].[Realme].[All]" dimensionUniqueName="[Range 3]" displayFolder="" count="0" memberValueDatatype="5" unbalanced="0"/>
    <cacheHierarchy uniqueName="[Range 3].[Samsung]" caption="Samsung" attribute="1" defaultMemberUniqueName="[Range 3].[Samsung].[All]" allUniqueName="[Range 3].[Samsung].[All]" dimensionUniqueName="[Range 3]" displayFolder="" count="0" memberValueDatatype="5" unbalanced="0"/>
    <cacheHierarchy uniqueName="[Range 3].[Transsion]" caption="Transsion" attribute="1" defaultMemberUniqueName="[Range 3].[Transsion].[All]" allUniqueName="[Range 3].[Transsion].[All]" dimensionUniqueName="[Range 3]" displayFolder="" count="0" memberValueDatatype="5" unbalanced="0"/>
    <cacheHierarchy uniqueName="[Range 3].[Vivo]" caption="Vivo" attribute="1" defaultMemberUniqueName="[Range 3].[Vivo].[All]" allUniqueName="[Range 3].[Vivo].[All]" dimensionUniqueName="[Range 3]" displayFolder="" count="0" memberValueDatatype="5" unbalanced="0"/>
    <cacheHierarchy uniqueName="[Range 3].[Xiaomi]" caption="Xiaomi" attribute="1" defaultMemberUniqueName="[Range 3].[Xiaomi].[All]" allUniqueName="[Range 3].[Xiaomi].[All]" dimensionUniqueName="[Range 3]"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1Q21]" caption="Sum of 1Q21" measure="1" displayFolder="" measureGroup="Range" count="0" hidden="1">
      <extLst>
        <ext xmlns:x15="http://schemas.microsoft.com/office/spreadsheetml/2010/11/main" uri="{B97F6D7D-B522-45F9-BDA1-12C45D357490}">
          <x15:cacheHierarchy aggregatedColumn="1"/>
        </ext>
      </extLst>
    </cacheHierarchy>
    <cacheHierarchy uniqueName="[Measures].[Sum of 2Q21]" caption="Sum of 2Q21" measure="1" displayFolder="" measureGroup="Range" count="0" hidden="1">
      <extLst>
        <ext xmlns:x15="http://schemas.microsoft.com/office/spreadsheetml/2010/11/main" uri="{B97F6D7D-B522-45F9-BDA1-12C45D357490}">
          <x15:cacheHierarchy aggregatedColumn="2"/>
        </ext>
      </extLst>
    </cacheHierarchy>
    <cacheHierarchy uniqueName="[Measures].[Sum of 3Q21]" caption="Sum of 3Q21" measure="1" displayFolder="" measureGroup="Range" count="0" hidden="1">
      <extLst>
        <ext xmlns:x15="http://schemas.microsoft.com/office/spreadsheetml/2010/11/main" uri="{B97F6D7D-B522-45F9-BDA1-12C45D357490}">
          <x15:cacheHierarchy aggregatedColumn="3"/>
        </ext>
      </extLst>
    </cacheHierarchy>
    <cacheHierarchy uniqueName="[Measures].[Sum of 4Q21]" caption="Sum of 4Q21" measure="1" displayFolder="" measureGroup="Range" count="0" hidden="1">
      <extLst>
        <ext xmlns:x15="http://schemas.microsoft.com/office/spreadsheetml/2010/11/main" uri="{B97F6D7D-B522-45F9-BDA1-12C45D357490}">
          <x15:cacheHierarchy aggregatedColumn="4"/>
        </ext>
      </extLst>
    </cacheHierarchy>
    <cacheHierarchy uniqueName="[Measures].[Sum of 1Q22]" caption="Sum of 1Q22" measure="1" displayFolder="" measureGroup="Range" count="0" hidden="1">
      <extLst>
        <ext xmlns:x15="http://schemas.microsoft.com/office/spreadsheetml/2010/11/main" uri="{B97F6D7D-B522-45F9-BDA1-12C45D357490}">
          <x15:cacheHierarchy aggregatedColumn="5"/>
        </ext>
      </extLst>
    </cacheHierarchy>
    <cacheHierarchy uniqueName="[Measures].[Sum of 2Q22]" caption="Sum of 2Q22" measure="1" displayFolder="" measureGroup="Range" count="0" hidden="1">
      <extLst>
        <ext xmlns:x15="http://schemas.microsoft.com/office/spreadsheetml/2010/11/main" uri="{B97F6D7D-B522-45F9-BDA1-12C45D357490}">
          <x15:cacheHierarchy aggregatedColumn="6"/>
        </ext>
      </extLst>
    </cacheHierarchy>
    <cacheHierarchy uniqueName="[Measures].[Sum of 3Q22]" caption="Sum of 3Q22" measure="1" displayFolder="" measureGroup="Range" count="0" hidden="1">
      <extLst>
        <ext xmlns:x15="http://schemas.microsoft.com/office/spreadsheetml/2010/11/main" uri="{B97F6D7D-B522-45F9-BDA1-12C45D357490}">
          <x15:cacheHierarchy aggregatedColumn="7"/>
        </ext>
      </extLst>
    </cacheHierarchy>
    <cacheHierarchy uniqueName="[Measures].[Sum of 4Q22]" caption="Sum of 4Q22" measure="1" displayFolder="" measureGroup="Range" count="0" hidden="1">
      <extLst>
        <ext xmlns:x15="http://schemas.microsoft.com/office/spreadsheetml/2010/11/main" uri="{B97F6D7D-B522-45F9-BDA1-12C45D357490}">
          <x15:cacheHierarchy aggregatedColumn="8"/>
        </ext>
      </extLst>
    </cacheHierarchy>
    <cacheHierarchy uniqueName="[Measures].[Sum of 1Q23]" caption="Sum of 1Q23" measure="1" displayFolder="" measureGroup="Range" count="0" hidden="1">
      <extLst>
        <ext xmlns:x15="http://schemas.microsoft.com/office/spreadsheetml/2010/11/main" uri="{B97F6D7D-B522-45F9-BDA1-12C45D357490}">
          <x15:cacheHierarchy aggregatedColumn="9"/>
        </ext>
      </extLst>
    </cacheHierarchy>
    <cacheHierarchy uniqueName="[Measures].[Sum of 2Q23]" caption="Sum of 2Q23" measure="1" displayFolder="" measureGroup="Range" count="0" hidden="1">
      <extLst>
        <ext xmlns:x15="http://schemas.microsoft.com/office/spreadsheetml/2010/11/main" uri="{B97F6D7D-B522-45F9-BDA1-12C45D357490}">
          <x15:cacheHierarchy aggregatedColumn="10"/>
        </ext>
      </extLst>
    </cacheHierarchy>
    <cacheHierarchy uniqueName="[Measures].[Sum of Samsung]" caption="Sum of Samsung" measure="1" displayFolder="" measureGroup="Range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PPO]" caption="Sum of OPPO" measure="1" displayFolder="" measureGroup="Range 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Vivo]" caption="Sum of Vivo" measure="1" displayFolder="" measureGroup="Range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Xiaomi]" caption="Sum of Xiaomi" measure="1" displayFolder="" measureGroup="Range 1"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Transsion]" caption="Sum of Transsion" measure="1" displayFolder="" measureGroup="Range 1" count="0" oneField="1" hidden="1">
      <fieldsUsage count="1">
        <fieldUsage x="5"/>
      </fieldsUsage>
      <extLst>
        <ext xmlns:x15="http://schemas.microsoft.com/office/spreadsheetml/2010/11/main" uri="{B97F6D7D-B522-45F9-BDA1-12C45D357490}">
          <x15:cacheHierarchy aggregatedColumn="16"/>
        </ext>
      </extLst>
    </cacheHierarchy>
    <cacheHierarchy uniqueName="[Measures].[Sum of Realme]" caption="Sum of Realme" measure="1" displayFolder="" measureGroup="Range 1" count="0" oneField="1" hidden="1">
      <fieldsUsage count="1">
        <fieldUsage x="6"/>
      </fieldsUsage>
      <extLst>
        <ext xmlns:x15="http://schemas.microsoft.com/office/spreadsheetml/2010/11/main" uri="{B97F6D7D-B522-45F9-BDA1-12C45D357490}">
          <x15:cacheHierarchy aggregatedColumn="17"/>
        </ext>
      </extLst>
    </cacheHierarchy>
    <cacheHierarchy uniqueName="[Measures].[Sum of Others]" caption="Sum of Others" measure="1" displayFolder="" measureGroup="Range 1" count="0" oneField="1" hidden="1">
      <fieldsUsage count="1">
        <fieldUsage x="7"/>
      </fieldsUsage>
      <extLst>
        <ext xmlns:x15="http://schemas.microsoft.com/office/spreadsheetml/2010/11/main" uri="{B97F6D7D-B522-45F9-BDA1-12C45D357490}">
          <x15:cacheHierarchy aggregatedColumn="18"/>
        </ext>
      </extLst>
    </cacheHierarchy>
    <cacheHierarchy uniqueName="[Measures].[Sum of OPPO 2]" caption="Sum of OPPO 2" measure="1" displayFolder="" measureGroup="Range 3" count="0" hidden="1">
      <extLst>
        <ext xmlns:x15="http://schemas.microsoft.com/office/spreadsheetml/2010/11/main" uri="{B97F6D7D-B522-45F9-BDA1-12C45D357490}">
          <x15:cacheHierarchy aggregatedColumn="20"/>
        </ext>
      </extLst>
    </cacheHierarchy>
    <cacheHierarchy uniqueName="[Measures].[Sum of Others 2]" caption="Sum of Others 2" measure="1" displayFolder="" measureGroup="Range 3" count="0" hidden="1">
      <extLst>
        <ext xmlns:x15="http://schemas.microsoft.com/office/spreadsheetml/2010/11/main" uri="{B97F6D7D-B522-45F9-BDA1-12C45D357490}">
          <x15:cacheHierarchy aggregatedColumn="21"/>
        </ext>
      </extLst>
    </cacheHierarchy>
    <cacheHierarchy uniqueName="[Measures].[Sum of Realme 2]" caption="Sum of Realme 2" measure="1" displayFolder="" measureGroup="Range 3" count="0" hidden="1">
      <extLst>
        <ext xmlns:x15="http://schemas.microsoft.com/office/spreadsheetml/2010/11/main" uri="{B97F6D7D-B522-45F9-BDA1-12C45D357490}">
          <x15:cacheHierarchy aggregatedColumn="22"/>
        </ext>
      </extLst>
    </cacheHierarchy>
    <cacheHierarchy uniqueName="[Measures].[Sum of Samsung 2]" caption="Sum of Samsung 2" measure="1" displayFolder="" measureGroup="Range 3" count="0" hidden="1">
      <extLst>
        <ext xmlns:x15="http://schemas.microsoft.com/office/spreadsheetml/2010/11/main" uri="{B97F6D7D-B522-45F9-BDA1-12C45D357490}">
          <x15:cacheHierarchy aggregatedColumn="23"/>
        </ext>
      </extLst>
    </cacheHierarchy>
    <cacheHierarchy uniqueName="[Measures].[Sum of Transsion 2]" caption="Sum of Transsion 2" measure="1" displayFolder="" measureGroup="Range 3" count="0" hidden="1">
      <extLst>
        <ext xmlns:x15="http://schemas.microsoft.com/office/spreadsheetml/2010/11/main" uri="{B97F6D7D-B522-45F9-BDA1-12C45D357490}">
          <x15:cacheHierarchy aggregatedColumn="24"/>
        </ext>
      </extLst>
    </cacheHierarchy>
    <cacheHierarchy uniqueName="[Measures].[Sum of Vivo 2]" caption="Sum of Vivo 2" measure="1" displayFolder="" measureGroup="Range 3" count="0" hidden="1">
      <extLst>
        <ext xmlns:x15="http://schemas.microsoft.com/office/spreadsheetml/2010/11/main" uri="{B97F6D7D-B522-45F9-BDA1-12C45D357490}">
          <x15:cacheHierarchy aggregatedColumn="25"/>
        </ext>
      </extLst>
    </cacheHierarchy>
    <cacheHierarchy uniqueName="[Measures].[Sum of Xiaomi 2]" caption="Sum of Xiaomi 2" measure="1" displayFolder="" measureGroup="Range 3"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Range" uniqueName="[Range]" caption="Range"/>
    <dimension name="Range 1" uniqueName="[Range 1]" caption="Range 1"/>
    <dimension name="Range 3" uniqueName="[Range 3]" caption="Range 3"/>
  </dimensions>
  <measureGroups count="3">
    <measureGroup name="Range" caption="Range"/>
    <measureGroup name="Range 1" caption="Range 1"/>
    <measureGroup name="Range 3" caption="Range 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7.963698842592" backgroundQuery="1" createdVersion="3" refreshedVersion="8" minRefreshableVersion="3" recordCount="0" supportSubquery="1" supportAdvancedDrill="1" xr:uid="{FEDC91AA-51FE-4635-BB62-EDF2BC5BE5AB}">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Range].[Date]" caption="Date" attribute="1" defaultMemberUniqueName="[Range].[Date].[All]" allUniqueName="[Range].[Date].[All]" dimensionUniqueName="[Range]" displayFolder="" count="0" memberValueDatatype="130" unbalanced="0"/>
    <cacheHierarchy uniqueName="[Range].[1Q21]" caption="1Q21" attribute="1" defaultMemberUniqueName="[Range].[1Q21].[All]" allUniqueName="[Range].[1Q21].[All]" dimensionUniqueName="[Range]" displayFolder="" count="0" memberValueDatatype="5" unbalanced="0"/>
    <cacheHierarchy uniqueName="[Range].[2Q21]" caption="2Q21" attribute="1" defaultMemberUniqueName="[Range].[2Q21].[All]" allUniqueName="[Range].[2Q21].[All]" dimensionUniqueName="[Range]" displayFolder="" count="0" memberValueDatatype="5" unbalanced="0"/>
    <cacheHierarchy uniqueName="[Range].[3Q21]" caption="3Q21" attribute="1" defaultMemberUniqueName="[Range].[3Q21].[All]" allUniqueName="[Range].[3Q21].[All]" dimensionUniqueName="[Range]" displayFolder="" count="0" memberValueDatatype="5" unbalanced="0"/>
    <cacheHierarchy uniqueName="[Range].[4Q21]" caption="4Q21" attribute="1" defaultMemberUniqueName="[Range].[4Q21].[All]" allUniqueName="[Range].[4Q21].[All]" dimensionUniqueName="[Range]" displayFolder="" count="0" memberValueDatatype="5" unbalanced="0"/>
    <cacheHierarchy uniqueName="[Range].[1Q22]" caption="1Q22" attribute="1" defaultMemberUniqueName="[Range].[1Q22].[All]" allUniqueName="[Range].[1Q22].[All]" dimensionUniqueName="[Range]" displayFolder="" count="0" memberValueDatatype="5" unbalanced="0"/>
    <cacheHierarchy uniqueName="[Range].[2Q22]" caption="2Q22" attribute="1" defaultMemberUniqueName="[Range].[2Q22].[All]" allUniqueName="[Range].[2Q22].[All]" dimensionUniqueName="[Range]" displayFolder="" count="0" memberValueDatatype="5" unbalanced="0"/>
    <cacheHierarchy uniqueName="[Range].[3Q22]" caption="3Q22" attribute="1" defaultMemberUniqueName="[Range].[3Q22].[All]" allUniqueName="[Range].[3Q22].[All]" dimensionUniqueName="[Range]" displayFolder="" count="0" memberValueDatatype="5" unbalanced="0"/>
    <cacheHierarchy uniqueName="[Range].[4Q22]" caption="4Q22" attribute="1" defaultMemberUniqueName="[Range].[4Q22].[All]" allUniqueName="[Range].[4Q22].[All]" dimensionUniqueName="[Range]" displayFolder="" count="0" memberValueDatatype="5" unbalanced="0"/>
    <cacheHierarchy uniqueName="[Range].[1Q23]" caption="1Q23" attribute="1" defaultMemberUniqueName="[Range].[1Q23].[All]" allUniqueName="[Range].[1Q23].[All]" dimensionUniqueName="[Range]" displayFolder="" count="0" memberValueDatatype="5" unbalanced="0"/>
    <cacheHierarchy uniqueName="[Range].[2Q23]" caption="2Q23" attribute="1" defaultMemberUniqueName="[Range].[2Q23].[All]" allUniqueName="[Range].[2Q23].[All]" dimensionUniqueName="[Range]"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Samsung]" caption="Samsung" attribute="1" defaultMemberUniqueName="[Range 1].[Samsung].[All]" allUniqueName="[Range 1].[Samsung].[All]" dimensionUniqueName="[Range 1]" displayFolder="" count="0" memberValueDatatype="5" unbalanced="0"/>
    <cacheHierarchy uniqueName="[Range 1].[OPPO]" caption="OPPO" attribute="1" defaultMemberUniqueName="[Range 1].[OPPO].[All]" allUniqueName="[Range 1].[OPPO].[All]" dimensionUniqueName="[Range 1]" displayFolder="" count="0" memberValueDatatype="5" unbalanced="0"/>
    <cacheHierarchy uniqueName="[Range 1].[Vivo]" caption="Vivo" attribute="1" defaultMemberUniqueName="[Range 1].[Vivo].[All]" allUniqueName="[Range 1].[Vivo].[All]" dimensionUniqueName="[Range 1]" displayFolder="" count="0" memberValueDatatype="5" unbalanced="0"/>
    <cacheHierarchy uniqueName="[Range 1].[Xiaomi]" caption="Xiaomi" attribute="1" defaultMemberUniqueName="[Range 1].[Xiaomi].[All]" allUniqueName="[Range 1].[Xiaomi].[All]" dimensionUniqueName="[Range 1]" displayFolder="" count="0" memberValueDatatype="5" unbalanced="0"/>
    <cacheHierarchy uniqueName="[Range 1].[Transsion]" caption="Transsion" attribute="1" defaultMemberUniqueName="[Range 1].[Transsion].[All]" allUniqueName="[Range 1].[Transsion].[All]" dimensionUniqueName="[Range 1]" displayFolder="" count="0" memberValueDatatype="5" unbalanced="0"/>
    <cacheHierarchy uniqueName="[Range 1].[Realme]" caption="Realme" attribute="1" defaultMemberUniqueName="[Range 1].[Realme].[All]" allUniqueName="[Range 1].[Realme].[All]" dimensionUniqueName="[Range 1]" displayFolder="" count="0" memberValueDatatype="5" unbalanced="0"/>
    <cacheHierarchy uniqueName="[Range 1].[Others]" caption="Others" attribute="1" defaultMemberUniqueName="[Range 1].[Others].[All]" allUniqueName="[Range 1].[Others].[All]" dimensionUniqueName="[Range 1]" displayFolder="" count="0" memberValueDatatype="5" unbalanced="0"/>
    <cacheHierarchy uniqueName="[Range 3].[Vendors]" caption="Vendors" attribute="1" defaultMemberUniqueName="[Range 3].[Vendors].[All]" allUniqueName="[Range 3].[Vendors].[All]" dimensionUniqueName="[Range 3]" displayFolder="" count="0" memberValueDatatype="130" unbalanced="0"/>
    <cacheHierarchy uniqueName="[Range 3].[OPPO]" caption="OPPO" attribute="1" defaultMemberUniqueName="[Range 3].[OPPO].[All]" allUniqueName="[Range 3].[OPPO].[All]" dimensionUniqueName="[Range 3]" displayFolder="" count="0" memberValueDatatype="5" unbalanced="0"/>
    <cacheHierarchy uniqueName="[Range 3].[Others]" caption="Others" attribute="1" defaultMemberUniqueName="[Range 3].[Others].[All]" allUniqueName="[Range 3].[Others].[All]" dimensionUniqueName="[Range 3]" displayFolder="" count="0" memberValueDatatype="5" unbalanced="0"/>
    <cacheHierarchy uniqueName="[Range 3].[Realme]" caption="Realme" attribute="1" defaultMemberUniqueName="[Range 3].[Realme].[All]" allUniqueName="[Range 3].[Realme].[All]" dimensionUniqueName="[Range 3]" displayFolder="" count="0" memberValueDatatype="5" unbalanced="0"/>
    <cacheHierarchy uniqueName="[Range 3].[Samsung]" caption="Samsung" attribute="1" defaultMemberUniqueName="[Range 3].[Samsung].[All]" allUniqueName="[Range 3].[Samsung].[All]" dimensionUniqueName="[Range 3]" displayFolder="" count="0" memberValueDatatype="5" unbalanced="0"/>
    <cacheHierarchy uniqueName="[Range 3].[Transsion]" caption="Transsion" attribute="1" defaultMemberUniqueName="[Range 3].[Transsion].[All]" allUniqueName="[Range 3].[Transsion].[All]" dimensionUniqueName="[Range 3]" displayFolder="" count="0" memberValueDatatype="5" unbalanced="0"/>
    <cacheHierarchy uniqueName="[Range 3].[Vivo]" caption="Vivo" attribute="1" defaultMemberUniqueName="[Range 3].[Vivo].[All]" allUniqueName="[Range 3].[Vivo].[All]" dimensionUniqueName="[Range 3]" displayFolder="" count="0" memberValueDatatype="5" unbalanced="0"/>
    <cacheHierarchy uniqueName="[Range 3].[Xiaomi]" caption="Xiaomi" attribute="1" defaultMemberUniqueName="[Range 3].[Xiaomi].[All]" allUniqueName="[Range 3].[Xiaomi].[All]" dimensionUniqueName="[Range 3]"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1Q21]" caption="Sum of 1Q21" measure="1" displayFolder="" measureGroup="Range" count="0" hidden="1">
      <extLst>
        <ext xmlns:x15="http://schemas.microsoft.com/office/spreadsheetml/2010/11/main" uri="{B97F6D7D-B522-45F9-BDA1-12C45D357490}">
          <x15:cacheHierarchy aggregatedColumn="1"/>
        </ext>
      </extLst>
    </cacheHierarchy>
    <cacheHierarchy uniqueName="[Measures].[Sum of 2Q21]" caption="Sum of 2Q21" measure="1" displayFolder="" measureGroup="Range" count="0" hidden="1">
      <extLst>
        <ext xmlns:x15="http://schemas.microsoft.com/office/spreadsheetml/2010/11/main" uri="{B97F6D7D-B522-45F9-BDA1-12C45D357490}">
          <x15:cacheHierarchy aggregatedColumn="2"/>
        </ext>
      </extLst>
    </cacheHierarchy>
    <cacheHierarchy uniqueName="[Measures].[Sum of 3Q21]" caption="Sum of 3Q21" measure="1" displayFolder="" measureGroup="Range" count="0" hidden="1">
      <extLst>
        <ext xmlns:x15="http://schemas.microsoft.com/office/spreadsheetml/2010/11/main" uri="{B97F6D7D-B522-45F9-BDA1-12C45D357490}">
          <x15:cacheHierarchy aggregatedColumn="3"/>
        </ext>
      </extLst>
    </cacheHierarchy>
    <cacheHierarchy uniqueName="[Measures].[Sum of 4Q21]" caption="Sum of 4Q21" measure="1" displayFolder="" measureGroup="Range" count="0" hidden="1">
      <extLst>
        <ext xmlns:x15="http://schemas.microsoft.com/office/spreadsheetml/2010/11/main" uri="{B97F6D7D-B522-45F9-BDA1-12C45D357490}">
          <x15:cacheHierarchy aggregatedColumn="4"/>
        </ext>
      </extLst>
    </cacheHierarchy>
    <cacheHierarchy uniqueName="[Measures].[Sum of 1Q22]" caption="Sum of 1Q22" measure="1" displayFolder="" measureGroup="Range" count="0" hidden="1">
      <extLst>
        <ext xmlns:x15="http://schemas.microsoft.com/office/spreadsheetml/2010/11/main" uri="{B97F6D7D-B522-45F9-BDA1-12C45D357490}">
          <x15:cacheHierarchy aggregatedColumn="5"/>
        </ext>
      </extLst>
    </cacheHierarchy>
    <cacheHierarchy uniqueName="[Measures].[Sum of 2Q22]" caption="Sum of 2Q22" measure="1" displayFolder="" measureGroup="Range" count="0" hidden="1">
      <extLst>
        <ext xmlns:x15="http://schemas.microsoft.com/office/spreadsheetml/2010/11/main" uri="{B97F6D7D-B522-45F9-BDA1-12C45D357490}">
          <x15:cacheHierarchy aggregatedColumn="6"/>
        </ext>
      </extLst>
    </cacheHierarchy>
    <cacheHierarchy uniqueName="[Measures].[Sum of 3Q22]" caption="Sum of 3Q22" measure="1" displayFolder="" measureGroup="Range" count="0" hidden="1">
      <extLst>
        <ext xmlns:x15="http://schemas.microsoft.com/office/spreadsheetml/2010/11/main" uri="{B97F6D7D-B522-45F9-BDA1-12C45D357490}">
          <x15:cacheHierarchy aggregatedColumn="7"/>
        </ext>
      </extLst>
    </cacheHierarchy>
    <cacheHierarchy uniqueName="[Measures].[Sum of 4Q22]" caption="Sum of 4Q22" measure="1" displayFolder="" measureGroup="Range" count="0" hidden="1">
      <extLst>
        <ext xmlns:x15="http://schemas.microsoft.com/office/spreadsheetml/2010/11/main" uri="{B97F6D7D-B522-45F9-BDA1-12C45D357490}">
          <x15:cacheHierarchy aggregatedColumn="8"/>
        </ext>
      </extLst>
    </cacheHierarchy>
    <cacheHierarchy uniqueName="[Measures].[Sum of 1Q23]" caption="Sum of 1Q23" measure="1" displayFolder="" measureGroup="Range" count="0" hidden="1">
      <extLst>
        <ext xmlns:x15="http://schemas.microsoft.com/office/spreadsheetml/2010/11/main" uri="{B97F6D7D-B522-45F9-BDA1-12C45D357490}">
          <x15:cacheHierarchy aggregatedColumn="9"/>
        </ext>
      </extLst>
    </cacheHierarchy>
    <cacheHierarchy uniqueName="[Measures].[Sum of 2Q23]" caption="Sum of 2Q23" measure="1" displayFolder="" measureGroup="Range" count="0" hidden="1">
      <extLst>
        <ext xmlns:x15="http://schemas.microsoft.com/office/spreadsheetml/2010/11/main" uri="{B97F6D7D-B522-45F9-BDA1-12C45D357490}">
          <x15:cacheHierarchy aggregatedColumn="10"/>
        </ext>
      </extLst>
    </cacheHierarchy>
    <cacheHierarchy uniqueName="[Measures].[Sum of Samsung]" caption="Sum of Samsung" measure="1" displayFolder="" measureGroup="Range 1" count="0" hidden="1">
      <extLst>
        <ext xmlns:x15="http://schemas.microsoft.com/office/spreadsheetml/2010/11/main" uri="{B97F6D7D-B522-45F9-BDA1-12C45D357490}">
          <x15:cacheHierarchy aggregatedColumn="12"/>
        </ext>
      </extLst>
    </cacheHierarchy>
    <cacheHierarchy uniqueName="[Measures].[Sum of OPPO]" caption="Sum of OPPO" measure="1" displayFolder="" measureGroup="Range 1" count="0" hidden="1">
      <extLst>
        <ext xmlns:x15="http://schemas.microsoft.com/office/spreadsheetml/2010/11/main" uri="{B97F6D7D-B522-45F9-BDA1-12C45D357490}">
          <x15:cacheHierarchy aggregatedColumn="13"/>
        </ext>
      </extLst>
    </cacheHierarchy>
    <cacheHierarchy uniqueName="[Measures].[Sum of Vivo]" caption="Sum of Vivo" measure="1" displayFolder="" measureGroup="Range 1" count="0" hidden="1">
      <extLst>
        <ext xmlns:x15="http://schemas.microsoft.com/office/spreadsheetml/2010/11/main" uri="{B97F6D7D-B522-45F9-BDA1-12C45D357490}">
          <x15:cacheHierarchy aggregatedColumn="14"/>
        </ext>
      </extLst>
    </cacheHierarchy>
    <cacheHierarchy uniqueName="[Measures].[Sum of Xiaomi]" caption="Sum of Xiaomi" measure="1" displayFolder="" measureGroup="Range 1" count="0" hidden="1">
      <extLst>
        <ext xmlns:x15="http://schemas.microsoft.com/office/spreadsheetml/2010/11/main" uri="{B97F6D7D-B522-45F9-BDA1-12C45D357490}">
          <x15:cacheHierarchy aggregatedColumn="15"/>
        </ext>
      </extLst>
    </cacheHierarchy>
    <cacheHierarchy uniqueName="[Measures].[Sum of Transsion]" caption="Sum of Transsion" measure="1" displayFolder="" measureGroup="Range 1" count="0" hidden="1">
      <extLst>
        <ext xmlns:x15="http://schemas.microsoft.com/office/spreadsheetml/2010/11/main" uri="{B97F6D7D-B522-45F9-BDA1-12C45D357490}">
          <x15:cacheHierarchy aggregatedColumn="16"/>
        </ext>
      </extLst>
    </cacheHierarchy>
    <cacheHierarchy uniqueName="[Measures].[Sum of Realme]" caption="Sum of Realme" measure="1" displayFolder="" measureGroup="Range 1" count="0" hidden="1">
      <extLst>
        <ext xmlns:x15="http://schemas.microsoft.com/office/spreadsheetml/2010/11/main" uri="{B97F6D7D-B522-45F9-BDA1-12C45D357490}">
          <x15:cacheHierarchy aggregatedColumn="17"/>
        </ext>
      </extLst>
    </cacheHierarchy>
    <cacheHierarchy uniqueName="[Measures].[Sum of Others]" caption="Sum of Others" measure="1" displayFolder="" measureGroup="Range 1" count="0" hidden="1">
      <extLst>
        <ext xmlns:x15="http://schemas.microsoft.com/office/spreadsheetml/2010/11/main" uri="{B97F6D7D-B522-45F9-BDA1-12C45D357490}">
          <x15:cacheHierarchy aggregatedColumn="18"/>
        </ext>
      </extLst>
    </cacheHierarchy>
    <cacheHierarchy uniqueName="[Measures].[Sum of OPPO 2]" caption="Sum of OPPO 2" measure="1" displayFolder="" measureGroup="Range 3" count="0" hidden="1">
      <extLst>
        <ext xmlns:x15="http://schemas.microsoft.com/office/spreadsheetml/2010/11/main" uri="{B97F6D7D-B522-45F9-BDA1-12C45D357490}">
          <x15:cacheHierarchy aggregatedColumn="20"/>
        </ext>
      </extLst>
    </cacheHierarchy>
    <cacheHierarchy uniqueName="[Measures].[Sum of Others 2]" caption="Sum of Others 2" measure="1" displayFolder="" measureGroup="Range 3" count="0" hidden="1">
      <extLst>
        <ext xmlns:x15="http://schemas.microsoft.com/office/spreadsheetml/2010/11/main" uri="{B97F6D7D-B522-45F9-BDA1-12C45D357490}">
          <x15:cacheHierarchy aggregatedColumn="21"/>
        </ext>
      </extLst>
    </cacheHierarchy>
    <cacheHierarchy uniqueName="[Measures].[Sum of Realme 2]" caption="Sum of Realme 2" measure="1" displayFolder="" measureGroup="Range 3" count="0" hidden="1">
      <extLst>
        <ext xmlns:x15="http://schemas.microsoft.com/office/spreadsheetml/2010/11/main" uri="{B97F6D7D-B522-45F9-BDA1-12C45D357490}">
          <x15:cacheHierarchy aggregatedColumn="22"/>
        </ext>
      </extLst>
    </cacheHierarchy>
    <cacheHierarchy uniqueName="[Measures].[Sum of Samsung 2]" caption="Sum of Samsung 2" measure="1" displayFolder="" measureGroup="Range 3" count="0" hidden="1">
      <extLst>
        <ext xmlns:x15="http://schemas.microsoft.com/office/spreadsheetml/2010/11/main" uri="{B97F6D7D-B522-45F9-BDA1-12C45D357490}">
          <x15:cacheHierarchy aggregatedColumn="23"/>
        </ext>
      </extLst>
    </cacheHierarchy>
    <cacheHierarchy uniqueName="[Measures].[Sum of Transsion 2]" caption="Sum of Transsion 2" measure="1" displayFolder="" measureGroup="Range 3" count="0" hidden="1">
      <extLst>
        <ext xmlns:x15="http://schemas.microsoft.com/office/spreadsheetml/2010/11/main" uri="{B97F6D7D-B522-45F9-BDA1-12C45D357490}">
          <x15:cacheHierarchy aggregatedColumn="24"/>
        </ext>
      </extLst>
    </cacheHierarchy>
    <cacheHierarchy uniqueName="[Measures].[Sum of Vivo 2]" caption="Sum of Vivo 2" measure="1" displayFolder="" measureGroup="Range 3" count="0" hidden="1">
      <extLst>
        <ext xmlns:x15="http://schemas.microsoft.com/office/spreadsheetml/2010/11/main" uri="{B97F6D7D-B522-45F9-BDA1-12C45D357490}">
          <x15:cacheHierarchy aggregatedColumn="25"/>
        </ext>
      </extLst>
    </cacheHierarchy>
    <cacheHierarchy uniqueName="[Measures].[Sum of Xiaomi 2]" caption="Sum of Xiaomi 2" measure="1" displayFolder="" measureGroup="Range 3"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Range" uniqueName="[Range]" caption="Range"/>
    <dimension name="Range 1" uniqueName="[Range 1]" caption="Range 1"/>
    <dimension name="Range 3" uniqueName="[Range 3]" caption="Range 3"/>
  </dimensions>
  <measureGroups count="3">
    <measureGroup name="Range" caption="Range"/>
    <measureGroup name="Range 1" caption="Range 1"/>
    <measureGroup name="Range 3" caption="Range 3"/>
  </measureGroups>
  <maps count="3">
    <map measureGroup="0" dimension="1"/>
    <map measureGroup="1" dimension="2"/>
    <map measureGroup="2" dimension="3"/>
  </maps>
  <extLst>
    <ext xmlns:x14="http://schemas.microsoft.com/office/spreadsheetml/2009/9/main" uri="{725AE2AE-9491-48be-B2B4-4EB974FC3084}">
      <x14:pivotCacheDefinition slicerData="1" pivotCacheId="20556076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900000"/>
    <n v="1600000"/>
    <n v="1500000"/>
    <n v="1300000"/>
    <n v="1200000"/>
    <m/>
    <n v="1500000"/>
  </r>
  <r>
    <x v="1"/>
    <n v="1900000"/>
    <n v="1800000"/>
    <n v="1300000"/>
    <n v="1100000"/>
    <m/>
    <n v="800000"/>
    <n v="900000"/>
  </r>
  <r>
    <x v="2"/>
    <n v="1800000"/>
    <n v="2200000"/>
    <n v="1500000"/>
    <n v="1100000"/>
    <m/>
    <n v="1000000"/>
    <n v="800000"/>
  </r>
  <r>
    <x v="3"/>
    <n v="1800000"/>
    <n v="1900000"/>
    <n v="1500000"/>
    <n v="1100000"/>
    <m/>
    <n v="900000"/>
    <n v="1000000"/>
  </r>
  <r>
    <x v="4"/>
    <n v="1900000"/>
    <n v="2000000"/>
    <n v="1700000"/>
    <n v="1500000"/>
    <n v="1100000"/>
    <n v="1200000"/>
    <n v="1400000"/>
  </r>
  <r>
    <x v="5"/>
    <n v="2100000"/>
    <n v="1800000"/>
    <n v="1500000"/>
    <n v="1300000"/>
    <m/>
    <n v="1100000"/>
    <n v="1100000"/>
  </r>
  <r>
    <x v="6"/>
    <n v="1900000"/>
    <n v="2100000"/>
    <n v="2000000"/>
    <n v="1600000"/>
    <m/>
    <n v="1400000"/>
    <n v="1300000"/>
  </r>
  <r>
    <x v="7"/>
    <n v="1500000"/>
    <n v="2000000"/>
    <n v="1900000"/>
    <n v="1600000"/>
    <m/>
    <n v="1200000"/>
    <n v="1100000"/>
  </r>
  <r>
    <x v="8"/>
    <n v="1700000"/>
    <n v="2000000"/>
    <n v="1800000"/>
    <n v="2800000"/>
    <m/>
    <n v="1200000"/>
    <n v="1100000"/>
  </r>
  <r>
    <x v="9"/>
    <n v="2000000"/>
    <n v="2500000"/>
    <n v="1700000"/>
    <n v="2200000"/>
    <m/>
    <n v="1300000"/>
    <n v="11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EE6F3-D74C-4DE5-B647-4C140B85DD05}" name="PivotTable3" cacheId="422" applyNumberFormats="0" applyBorderFormats="0" applyFontFormats="0" applyPatternFormats="0" applyAlignmentFormats="0" applyWidthHeightFormats="1" dataCaption="Values" missingCaption="NULL" updatedVersion="8" minRefreshableVersion="3" useAutoFormatting="1" subtotalHiddenItems="1" rowGrandTotals="0" colGrandTotals="0" itemPrintTitles="1" createdVersion="8" indent="0" outline="1" outlineData="1" multipleFieldFilters="0" chartFormat="6" rowHeaderCaption="Date">
  <location ref="A9:H15" firstHeaderRow="0" firstDataRow="1" firstDataCol="1"/>
  <pivotFields count="8">
    <pivotField axis="axisRow" allDrilled="1" subtotalTop="0" showAll="0" defaultSubtotal="0" defaultAttributeDrillState="1">
      <items count="6">
        <item x="0"/>
        <item x="2"/>
        <item x="4"/>
        <item x="5"/>
        <item x="1"/>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7">
    <i>
      <x/>
    </i>
    <i i="1">
      <x v="1"/>
    </i>
    <i i="2">
      <x v="2"/>
    </i>
    <i i="3">
      <x v="3"/>
    </i>
    <i i="4">
      <x v="4"/>
    </i>
    <i i="5">
      <x v="5"/>
    </i>
    <i i="6">
      <x v="6"/>
    </i>
  </colItems>
  <dataFields count="7">
    <dataField name=" OPPO" fld="1" baseField="0" baseItem="0"/>
    <dataField name="Realme" fld="3" baseField="0" baseItem="0"/>
    <dataField name="Samsung" fld="4" baseField="0" baseItem="0"/>
    <dataField name="Transsion" fld="5" baseField="0" baseItem="0"/>
    <dataField name="Vivo" fld="6" baseField="0" baseItem="0"/>
    <dataField name="Xiaomi" fld="7" baseField="0" baseItem="0"/>
    <dataField name="Others" fld="2" baseField="0" baseItem="0"/>
  </dataFields>
  <formats count="3">
    <format dxfId="0">
      <pivotArea collapsedLevelsAreSubtotals="1" fieldPosition="0">
        <references count="1">
          <reference field="0" count="0"/>
        </references>
      </pivotArea>
    </format>
    <format dxfId="1">
      <pivotArea outline="0" collapsedLevelsAreSubtotals="1" fieldPosition="0"/>
    </format>
    <format dxfId="2">
      <pivotArea outline="0" collapsedLevelsAreSubtotals="1" fieldPosition="0"/>
    </format>
  </formats>
  <chartFormats count="7">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5"/>
          </reference>
        </references>
      </pivotArea>
    </chartFormat>
    <chartFormat chart="5" format="20" series="1">
      <pivotArea type="data" outline="0" fieldPosition="0">
        <references count="1">
          <reference field="4294967294" count="1" selected="0">
            <x v="6"/>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3!$A$26:$H$32">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C24AF-5D98-4C17-8FE4-5BC13C031DD7}" name="PivotTable3"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ate ">
  <location ref="A1:K9" firstHeaderRow="0" firstDataRow="1" firstDataCol="1"/>
  <pivotFields count="11">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10">
    <i>
      <x/>
    </i>
    <i i="1">
      <x v="1"/>
    </i>
    <i i="2">
      <x v="2"/>
    </i>
    <i i="3">
      <x v="3"/>
    </i>
    <i i="4">
      <x v="4"/>
    </i>
    <i i="5">
      <x v="5"/>
    </i>
    <i i="6">
      <x v="6"/>
    </i>
    <i i="7">
      <x v="7"/>
    </i>
    <i i="8">
      <x v="8"/>
    </i>
    <i i="9">
      <x v="9"/>
    </i>
  </colItems>
  <dataFields count="10">
    <dataField name=" 1Q21" fld="1" baseField="0" baseItem="0"/>
    <dataField name=" 2Q21" fld="2" baseField="0" baseItem="0"/>
    <dataField name=" 3Q21" fld="3" baseField="0" baseItem="0"/>
    <dataField name=" 4Q21" fld="4" baseField="0" baseItem="0"/>
    <dataField name=" 1Q22" fld="5" baseField="0" baseItem="0"/>
    <dataField name=" 2Q22" fld="6" baseField="0" baseItem="0"/>
    <dataField name=" 3Q22" fld="7" baseField="0" baseItem="0"/>
    <dataField name=" 4Q22" fld="8" baseField="0" baseItem="0"/>
    <dataField name=" 1Q23" fld="9" baseField="0" baseItem="0"/>
    <dataField name=" 2Q23" fld="10" baseField="0" baseItem="0"/>
  </dataFields>
  <formats count="1">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1Q21"/>
    <pivotHierarchy dragToData="1" caption=" 2Q21"/>
    <pivotHierarchy dragToData="1" caption=" 3Q21"/>
    <pivotHierarchy dragToData="1" caption=" 4Q21"/>
    <pivotHierarchy dragToData="1" caption=" 1Q22"/>
    <pivotHierarchy dragToData="1" caption=" 2Q22"/>
    <pivotHierarchy dragToData="1" caption=" 3Q22"/>
    <pivotHierarchy dragToData="1" caption=" 4Q22"/>
    <pivotHierarchy dragToData="1" caption=" 1Q23"/>
    <pivotHierarchy dragToData="1" caption=" 2Q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Share!$A$1:$K$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97D7FD-4C16-4E2B-866B-0A8C0DD5EDAC}" name="PivotTable4" cacheId="424" dataOnRows="1" applyNumberFormats="0" applyBorderFormats="0" applyFontFormats="0" applyPatternFormats="0" applyAlignmentFormats="0" applyWidthHeightFormats="1" dataCaption="Values" missingCaption="NULL" updatedVersion="8" minRefreshableVersion="3" useAutoFormatting="1" subtotalHiddenItems="1" rowGrandTotals="0" colGrandTotals="0" itemPrintTitles="1" createdVersion="8" indent="0" outline="1" outlineData="1" multipleFieldFilters="0" chartFormat="3">
  <location ref="A11:B19" firstHeaderRow="1" firstDataRow="2" firstDataCol="1"/>
  <pivotFields count="8">
    <pivotField axis="axisCol" allDrilled="1" subtotalTop="0" showAll="0"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7">
    <i>
      <x/>
    </i>
    <i i="1">
      <x v="1"/>
    </i>
    <i i="2">
      <x v="2"/>
    </i>
    <i i="3">
      <x v="3"/>
    </i>
    <i i="4">
      <x v="4"/>
    </i>
    <i i="5">
      <x v="5"/>
    </i>
    <i i="6">
      <x v="6"/>
    </i>
  </rowItems>
  <colFields count="1">
    <field x="0"/>
  </colFields>
  <colItems count="1">
    <i>
      <x/>
    </i>
  </colItems>
  <dataFields count="7">
    <dataField name="Samsung " fld="1" baseField="0" baseItem="0"/>
    <dataField name="OPPO " fld="2" baseField="0" baseItem="0"/>
    <dataField name="Vivo " fld="3" baseField="0" baseItem="0"/>
    <dataField name="Xiaomi " fld="4" baseField="0" baseItem="0"/>
    <dataField name="Transsion " fld="5" baseField="0" baseItem="0"/>
    <dataField name="Realme " fld="6" baseField="0" baseItem="0"/>
    <dataField name="Others " fld="7" baseField="0" baseItem="0"/>
  </dataFields>
  <formats count="2">
    <format dxfId="5">
      <pivotArea outline="0" collapsedLevelsAreSubtotals="1" fieldPosition="0"/>
    </format>
    <format dxfId="4">
      <pivotArea outline="0" collapsedLevelsAreSubtotals="1" fieldPosition="0"/>
    </format>
  </formats>
  <chartFormats count="8">
    <chartFormat chart="2" format="18" series="1">
      <pivotArea type="data" outline="0" fieldPosition="0">
        <references count="1">
          <reference field="4294967294" count="1" selected="0">
            <x v="0"/>
          </reference>
        </references>
      </pivotArea>
    </chartFormat>
    <chartFormat chart="2" format="19">
      <pivotArea type="data" outline="0" fieldPosition="0">
        <references count="1">
          <reference field="4294967294" count="1" selected="0">
            <x v="0"/>
          </reference>
        </references>
      </pivotArea>
    </chartFormat>
    <chartFormat chart="2" format="20">
      <pivotArea type="data" outline="0" fieldPosition="0">
        <references count="1">
          <reference field="4294967294" count="1" selected="0">
            <x v="1"/>
          </reference>
        </references>
      </pivotArea>
    </chartFormat>
    <chartFormat chart="2" format="21">
      <pivotArea type="data" outline="0" fieldPosition="0">
        <references count="1">
          <reference field="4294967294" count="1" selected="0">
            <x v="2"/>
          </reference>
        </references>
      </pivotArea>
    </chartFormat>
    <chartFormat chart="2" format="22">
      <pivotArea type="data" outline="0" fieldPosition="0">
        <references count="1">
          <reference field="4294967294" count="1" selected="0">
            <x v="3"/>
          </reference>
        </references>
      </pivotArea>
    </chartFormat>
    <chartFormat chart="2" format="23">
      <pivotArea type="data" outline="0" fieldPosition="0">
        <references count="1">
          <reference field="4294967294" count="1" selected="0">
            <x v="4"/>
          </reference>
        </references>
      </pivotArea>
    </chartFormat>
    <chartFormat chart="2" format="24">
      <pivotArea type="data" outline="0" fieldPosition="0">
        <references count="1">
          <reference field="4294967294" count="1" selected="0">
            <x v="5"/>
          </reference>
        </references>
      </pivotArea>
    </chartFormat>
    <chartFormat chart="2" format="25">
      <pivotArea type="data" outline="0" fieldPosition="0">
        <references count="1">
          <reference field="4294967294" count="1" selected="0">
            <x v="6"/>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msung "/>
    <pivotHierarchy dragToData="1" caption="OPPO "/>
    <pivotHierarchy dragToData="1" caption="Vivo "/>
    <pivotHierarchy dragToData="1" caption="Xiaomi "/>
    <pivotHierarchy dragToData="1" caption="Transsion "/>
    <pivotHierarchy dragToData="1" caption="Realme "/>
    <pivotHierarchy dragToData="1" caption="Others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Share!$M$1:$T$1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713311-1EBE-425D-A0F8-889489BA3AF9}" name="PivotTable11" cacheId="0" applyNumberFormats="0" applyBorderFormats="0" applyFontFormats="0" applyPatternFormats="0" applyAlignmentFormats="0" applyWidthHeightFormats="1" dataCaption="Values" missingCaption="N/A" updatedVersion="8" minRefreshableVersion="3" useAutoFormatting="1" itemPrintTitles="1" createdVersion="8" indent="0" outline="1" outlineData="1" multipleFieldFilters="0" chartFormat="11" rowHeaderCaption="Date">
  <location ref="A3:H14" firstHeaderRow="0" firstDataRow="1" firstDataCol="1"/>
  <pivotFields count="8">
    <pivotField axis="axisRow" showAll="0">
      <items count="11">
        <item x="9"/>
        <item x="8"/>
        <item x="7"/>
        <item x="6"/>
        <item x="5"/>
        <item x="4"/>
        <item x="3"/>
        <item x="2"/>
        <item x="1"/>
        <item x="0"/>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11">
    <i>
      <x/>
    </i>
    <i>
      <x v="1"/>
    </i>
    <i>
      <x v="2"/>
    </i>
    <i>
      <x v="3"/>
    </i>
    <i>
      <x v="4"/>
    </i>
    <i>
      <x v="5"/>
    </i>
    <i>
      <x v="6"/>
    </i>
    <i>
      <x v="7"/>
    </i>
    <i>
      <x v="8"/>
    </i>
    <i>
      <x v="9"/>
    </i>
    <i t="grand">
      <x/>
    </i>
  </rowItems>
  <colFields count="1">
    <field x="-2"/>
  </colFields>
  <colItems count="7">
    <i>
      <x/>
    </i>
    <i i="1">
      <x v="1"/>
    </i>
    <i i="2">
      <x v="2"/>
    </i>
    <i i="3">
      <x v="3"/>
    </i>
    <i i="4">
      <x v="4"/>
    </i>
    <i i="5">
      <x v="5"/>
    </i>
    <i i="6">
      <x v="6"/>
    </i>
  </colItems>
  <dataFields count="7">
    <dataField name=" Samsung" fld="1" baseField="0" baseItem="0"/>
    <dataField name=" OPPO" fld="2" baseField="0" baseItem="0"/>
    <dataField name=" Vivo" fld="3" baseField="0" baseItem="0"/>
    <dataField name=" Xiaomi" fld="4" baseField="0" baseItem="0"/>
    <dataField name=" Transsion" fld="5" baseField="0" baseItem="0"/>
    <dataField name=" Realme" fld="6" baseField="0" baseItem="0"/>
    <dataField name=" Others" fld="7" baseField="0" baseItem="0"/>
  </dataFields>
  <formats count="6">
    <format>
      <pivotArea type="all" dataOnly="0" outline="0" fieldPosition="0"/>
    </format>
    <format>
      <pivotArea outline="0" collapsedLevelsAreSubtotals="1" fieldPosition="0"/>
    </format>
    <format>
      <pivotArea dataOnly="0" labelOnly="1" fieldPosition="0">
        <references count="1">
          <reference field="0" count="0"/>
        </references>
      </pivotArea>
    </format>
    <format>
      <pivotArea dataOnly="0" labelOnly="1" grandRow="1" outline="0" fieldPosition="0"/>
    </format>
    <format>
      <pivotArea field="0" type="button" dataOnly="0" labelOnly="1" outline="0" axis="axisRow" fieldPosition="0"/>
    </format>
    <format>
      <pivotArea dataOnly="0" labelOnly="1" outline="0" fieldPosition="0">
        <references count="1">
          <reference field="4294967294" count="7">
            <x v="0"/>
            <x v="1"/>
            <x v="2"/>
            <x v="3"/>
            <x v="4"/>
            <x v="5"/>
            <x v="6"/>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 chart="4" format="17" series="1">
      <pivotArea type="data" outline="0" fieldPosition="0">
        <references count="1">
          <reference field="4294967294" count="1" selected="0">
            <x v="3"/>
          </reference>
        </references>
      </pivotArea>
    </chartFormat>
    <chartFormat chart="4" format="18" series="1">
      <pivotArea type="data" outline="0" fieldPosition="0">
        <references count="1">
          <reference field="4294967294" count="1" selected="0">
            <x v="4"/>
          </reference>
        </references>
      </pivotArea>
    </chartFormat>
    <chartFormat chart="4" format="19" series="1">
      <pivotArea type="data" outline="0" fieldPosition="0">
        <references count="1">
          <reference field="4294967294" count="1" selected="0">
            <x v="5"/>
          </reference>
        </references>
      </pivotArea>
    </chartFormat>
    <chartFormat chart="4" format="20" series="1">
      <pivotArea type="data" outline="0" fieldPosition="0">
        <references count="1">
          <reference field="4294967294" count="1" selected="0">
            <x v="6"/>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5"/>
          </reference>
        </references>
      </pivotArea>
    </chartFormat>
    <chartFormat chart="5"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1481085-EDF5-4A9F-B13A-72AC4F6FC7CB}" sourceName="Date">
  <pivotTables>
    <pivotTable tabId="10" name="PivotTable11"/>
  </pivotTables>
  <data>
    <tabular pivotCacheId="1652601602">
      <items count="10">
        <i x="9" s="1"/>
        <i x="8" s="1"/>
        <i x="7" s="1"/>
        <i x="6" s="1"/>
        <i x="5" s="1"/>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A602D9A9-338F-42AC-B956-B1C25CB3176B}" sourceName="[Range 1].[Date]">
  <pivotTables>
    <pivotTable tabId="15" name="PivotTable4"/>
  </pivotTables>
  <data>
    <olap pivotCacheId="2055607698">
      <levels count="2">
        <level uniqueName="[Range 1].[Date].[(All)]" sourceCaption="(All)" count="0"/>
        <level uniqueName="[Range 1].[Date].[Date]" sourceCaption="Date" count="10">
          <ranges>
            <range startItem="0">
              <i n="[Range 1].[Date].&amp;[1Q21]" c="1Q21"/>
              <i n="[Range 1].[Date].&amp;[1Q22]" c="1Q22"/>
              <i n="[Range 1].[Date].&amp;[1Q23]" c="1Q23"/>
              <i n="[Range 1].[Date].&amp;[2Q21]" c="2Q21"/>
              <i n="[Range 1].[Date].&amp;[2Q22]" c="2Q22"/>
              <i n="[Range 1].[Date].&amp;[2Q23]" c="2Q23"/>
              <i n="[Range 1].[Date].&amp;[3Q21]" c="3Q21"/>
              <i n="[Range 1].[Date].&amp;[3Q22]" c="3Q22"/>
              <i n="[Range 1].[Date].&amp;[4Q21]" c="4Q21"/>
              <i n="[Range 1].[Date].&amp;[4Q22]" c="4Q22"/>
            </range>
          </ranges>
        </level>
      </levels>
      <selections count="1">
        <selection n="[Range 1].[Date].&amp;[4Q21]"/>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s" xr10:uid="{84087B79-FAE4-42C7-A32D-18E5A166B55D}" sourceName="[Range 3].[Vendors]">
  <pivotTables>
    <pivotTable tabId="18" name="PivotTable3"/>
  </pivotTables>
  <data>
    <olap pivotCacheId="2055607698">
      <levels count="2">
        <level uniqueName="[Range 3].[Vendors].[(All)]" sourceCaption="(All)" count="0"/>
        <level uniqueName="[Range 3].[Vendors].[Vendors]" sourceCaption="Vendors" count="6">
          <ranges>
            <range startItem="0">
              <i n="[Range 3].[Vendors].&amp;[1Q22]" c="1Q22"/>
              <i n="[Range 3].[Vendors].&amp;[1Q23]" c="1Q23"/>
              <i n="[Range 3].[Vendors].&amp;[2Q22]" c="2Q22"/>
              <i n="[Range 3].[Vendors].&amp;[2Q23]" c="2Q23"/>
              <i n="[Range 3].[Vendors].&amp;[3Q22]" c="3Q22"/>
              <i n="[Range 3].[Vendors].&amp;[4Q22]" c="4Q22"/>
            </range>
          </ranges>
        </level>
      </levels>
      <selections count="1">
        <selection n="[Range 3].[Vendor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1754EF3-59E2-4182-97D2-7281C33C7334}" cache="Slicer_Date" caption="Date" showCaption="0" style="Slicer Style 1" rowHeight="241300"/>
  <slicer name="Date " xr10:uid="{DE8C6924-A459-493D-8809-76D18FF624F0}" cache="Slicer_Date1" caption="Date" showCaption="0" level="1" style="Slicer Style 1" rowHeight="241300"/>
  <slicer name="Date   1" xr10:uid="{EE80B233-103E-4DED-A53B-847688A53D2A}" cache="Slicer_Vendors" caption="Date  " showCaption="0" level="1" style="Slicer Style 1" rowHeight="241300"/>
</slicers>
</file>

<file path=xl/theme/theme1.xml><?xml version="1.0" encoding="utf-8"?>
<a:theme xmlns:a="http://schemas.openxmlformats.org/drawingml/2006/main" name="Office Theme">
  <a:themeElements>
    <a:clrScheme name="Custom 6">
      <a:dk1>
        <a:sysClr val="windowText" lastClr="000000"/>
      </a:dk1>
      <a:lt1>
        <a:sysClr val="window" lastClr="FFFFFF"/>
      </a:lt1>
      <a:dk2>
        <a:srgbClr val="44546A"/>
      </a:dk2>
      <a:lt2>
        <a:srgbClr val="E7E6E6"/>
      </a:lt2>
      <a:accent1>
        <a:srgbClr val="002060"/>
      </a:accent1>
      <a:accent2>
        <a:srgbClr val="00B050"/>
      </a:accent2>
      <a:accent3>
        <a:srgbClr val="0070C0"/>
      </a:accent3>
      <a:accent4>
        <a:srgbClr val="FE7F00"/>
      </a:accent4>
      <a:accent5>
        <a:srgbClr val="0C0C0C"/>
      </a:accent5>
      <a:accent6>
        <a:srgbClr val="FFC000"/>
      </a:accent6>
      <a:hlink>
        <a:srgbClr val="A5A5A5"/>
      </a:hlink>
      <a:folHlink>
        <a:srgbClr val="7B7B7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H15"/>
  <sheetViews>
    <sheetView zoomScaleNormal="100" workbookViewId="0">
      <pane xSplit="1" topLeftCell="B1" activePane="topRight" state="frozen"/>
      <selection pane="topRight" activeCell="H14" sqref="H14"/>
    </sheetView>
  </sheetViews>
  <sheetFormatPr defaultRowHeight="15" x14ac:dyDescent="0.25"/>
  <cols>
    <col min="1" max="1" width="9.7109375" customWidth="1"/>
    <col min="2" max="21" width="17.7109375" customWidth="1"/>
  </cols>
  <sheetData>
    <row r="4" spans="1:34" x14ac:dyDescent="0.25">
      <c r="A4" t="s">
        <v>0</v>
      </c>
      <c r="B4" t="s">
        <v>4</v>
      </c>
      <c r="C4" t="s">
        <v>2</v>
      </c>
      <c r="D4" t="s">
        <v>14</v>
      </c>
      <c r="E4" t="s">
        <v>15</v>
      </c>
      <c r="F4" t="s">
        <v>20</v>
      </c>
      <c r="G4" t="s">
        <v>21</v>
      </c>
      <c r="H4" t="s">
        <v>26</v>
      </c>
      <c r="I4" t="s">
        <v>27</v>
      </c>
      <c r="J4" t="s">
        <v>13</v>
      </c>
      <c r="K4" t="s">
        <v>5</v>
      </c>
      <c r="L4" t="s">
        <v>18</v>
      </c>
      <c r="M4" t="s">
        <v>19</v>
      </c>
      <c r="N4" t="s">
        <v>24</v>
      </c>
      <c r="O4" t="s">
        <v>25</v>
      </c>
      <c r="P4" t="s">
        <v>28</v>
      </c>
      <c r="Q4" t="s">
        <v>29</v>
      </c>
      <c r="R4" t="s">
        <v>31</v>
      </c>
      <c r="S4" t="s">
        <v>32</v>
      </c>
      <c r="T4" t="s">
        <v>34</v>
      </c>
      <c r="U4" t="s">
        <v>35</v>
      </c>
    </row>
    <row r="5" spans="1:34" x14ac:dyDescent="0.25">
      <c r="A5" t="s">
        <v>6</v>
      </c>
      <c r="B5">
        <v>1900000</v>
      </c>
      <c r="C5">
        <f>(B5/SUMIF($B$5:$B$11,"&lt;&gt;#N/A"))*100%</f>
        <v>0.21111111111111111</v>
      </c>
      <c r="D5">
        <v>1900000</v>
      </c>
      <c r="E5">
        <f>(D5/SUMIF($D$5:$D$11,"&lt;&gt;#N/A"))*100%</f>
        <v>0.24358974358974358</v>
      </c>
      <c r="F5">
        <v>1800000</v>
      </c>
      <c r="G5">
        <f>(F5/SUMIF($F$5:$F$11,"&lt;&gt;#N/A"))*100%</f>
        <v>0.21428571428571427</v>
      </c>
      <c r="H5">
        <v>1800000</v>
      </c>
      <c r="I5">
        <f>(H5/SUMIF($H$5:$H$11,"&lt;&gt;#N/A"))*100%</f>
        <v>0.21951219512195122</v>
      </c>
      <c r="J5">
        <v>1900000</v>
      </c>
      <c r="K5">
        <f t="shared" ref="K5:K11" si="0">J5/SUMIF($J$5:$J$11,"&lt;&gt;#N/A")*100%</f>
        <v>0.17592592592592593</v>
      </c>
      <c r="L5">
        <v>2100000</v>
      </c>
      <c r="M5">
        <f t="shared" ref="M5:M11" si="1">(L5/SUMIF($L$5:$L$11,"&lt;&gt;#N/A"))*100%</f>
        <v>0.23595505617977527</v>
      </c>
      <c r="N5">
        <v>1900000</v>
      </c>
      <c r="O5">
        <f t="shared" ref="O5:O11" si="2">(N5/SUMIF($N$5:$N$11,"&lt;&gt;#N/A"))*100%</f>
        <v>0.18446601941747573</v>
      </c>
      <c r="P5">
        <v>1500000</v>
      </c>
      <c r="Q5">
        <f>(P5/SUMIF($P$5:$P$11,"&lt;&gt;#N/A"))*100%</f>
        <v>0.16129032258064516</v>
      </c>
      <c r="R5">
        <v>1700000</v>
      </c>
      <c r="S5">
        <f>(R5/SUMIF($R$5:$R$11,"&lt;&gt;#N/A"))*100%</f>
        <v>0.16037735849056603</v>
      </c>
      <c r="T5">
        <v>2000000</v>
      </c>
      <c r="U5">
        <f>(T5/SUMIF($T$5:$T$11,"&lt;&gt;#N/A"))*100%</f>
        <v>0.18518518518518517</v>
      </c>
    </row>
    <row r="6" spans="1:34" x14ac:dyDescent="0.25">
      <c r="A6" t="s">
        <v>7</v>
      </c>
      <c r="B6">
        <v>1600000</v>
      </c>
      <c r="C6">
        <f>(B6/SUMIF($B$5:$B$11,"&lt;&gt;#N/A"))*100%</f>
        <v>0.17777777777777778</v>
      </c>
      <c r="D6">
        <v>1800000</v>
      </c>
      <c r="E6">
        <f t="shared" ref="E6:E11" si="3">(D6/SUMIF($D$5:$D$11,"&lt;&gt;#N/A"))*100%</f>
        <v>0.23076923076923078</v>
      </c>
      <c r="F6">
        <v>2200000</v>
      </c>
      <c r="G6">
        <f t="shared" ref="G6:G11" si="4">(F6/SUMIF($F$5:$F$11,"&lt;&gt;#N/A"))*100%</f>
        <v>0.26190476190476192</v>
      </c>
      <c r="H6">
        <v>1900000</v>
      </c>
      <c r="I6">
        <f t="shared" ref="I6:I11" si="5">(H6/SUMIF($H$5:$H$11,"&lt;&gt;#N/A"))*100%</f>
        <v>0.23170731707317074</v>
      </c>
      <c r="J6">
        <v>2000000</v>
      </c>
      <c r="K6">
        <f t="shared" si="0"/>
        <v>0.18518518518518517</v>
      </c>
      <c r="L6">
        <v>1800000</v>
      </c>
      <c r="M6">
        <f t="shared" si="1"/>
        <v>0.20224719101123595</v>
      </c>
      <c r="N6">
        <v>2100000</v>
      </c>
      <c r="O6">
        <f t="shared" si="2"/>
        <v>0.20388349514563106</v>
      </c>
      <c r="P6">
        <v>2000000</v>
      </c>
      <c r="Q6">
        <f t="shared" ref="Q6:Q11" si="6">(P6/SUMIF($P$5:$P$11,"&lt;&gt;#N/A"))*100%</f>
        <v>0.21505376344086022</v>
      </c>
      <c r="R6">
        <v>2000000</v>
      </c>
      <c r="S6">
        <f>(R6/SUMIF($R$5:$R$11,"&lt;&gt;#N/A"))*100%</f>
        <v>0.18867924528301888</v>
      </c>
      <c r="T6">
        <v>2500000</v>
      </c>
      <c r="U6">
        <f t="shared" ref="U6:U11" si="7">(T6/SUMIF($T$5:$T$11,"&lt;&gt;#N/A"))*100%</f>
        <v>0.23148148148148148</v>
      </c>
    </row>
    <row r="7" spans="1:34" x14ac:dyDescent="0.25">
      <c r="A7" t="s">
        <v>8</v>
      </c>
      <c r="B7">
        <v>1500000</v>
      </c>
      <c r="C7">
        <f t="shared" ref="C7:C11" si="8">(B7/SUMIF($B$5:$B$11,"&lt;&gt;#N/A"))*100%</f>
        <v>0.16666666666666666</v>
      </c>
      <c r="D7">
        <v>1300000</v>
      </c>
      <c r="E7">
        <f t="shared" si="3"/>
        <v>0.16666666666666666</v>
      </c>
      <c r="F7">
        <v>1500000</v>
      </c>
      <c r="G7">
        <f t="shared" si="4"/>
        <v>0.17857142857142858</v>
      </c>
      <c r="H7">
        <v>1500000</v>
      </c>
      <c r="I7">
        <f t="shared" si="5"/>
        <v>0.18292682926829268</v>
      </c>
      <c r="J7">
        <v>1700000</v>
      </c>
      <c r="K7">
        <f t="shared" si="0"/>
        <v>0.15740740740740741</v>
      </c>
      <c r="L7">
        <v>1500000</v>
      </c>
      <c r="M7">
        <f t="shared" si="1"/>
        <v>0.16853932584269662</v>
      </c>
      <c r="N7">
        <v>2000000</v>
      </c>
      <c r="O7">
        <f t="shared" si="2"/>
        <v>0.1941747572815534</v>
      </c>
      <c r="P7">
        <v>1900000</v>
      </c>
      <c r="Q7">
        <f t="shared" si="6"/>
        <v>0.20430107526881722</v>
      </c>
      <c r="R7">
        <v>1800000</v>
      </c>
      <c r="S7">
        <f t="shared" ref="S7:S11" si="9">(R7/SUMIF($R$5:$R$11,"&lt;&gt;#N/A"))*100%</f>
        <v>0.16981132075471697</v>
      </c>
      <c r="T7">
        <v>1700000</v>
      </c>
      <c r="U7">
        <f t="shared" si="7"/>
        <v>0.15740740740740741</v>
      </c>
    </row>
    <row r="8" spans="1:34" x14ac:dyDescent="0.25">
      <c r="A8" t="s">
        <v>9</v>
      </c>
      <c r="B8">
        <v>1300000</v>
      </c>
      <c r="C8">
        <f t="shared" si="8"/>
        <v>0.14444444444444443</v>
      </c>
      <c r="D8">
        <v>1100000</v>
      </c>
      <c r="E8">
        <f t="shared" si="3"/>
        <v>0.14102564102564102</v>
      </c>
      <c r="F8">
        <v>1100000</v>
      </c>
      <c r="G8">
        <f t="shared" si="4"/>
        <v>0.13095238095238096</v>
      </c>
      <c r="H8">
        <v>1100000</v>
      </c>
      <c r="I8">
        <f t="shared" si="5"/>
        <v>0.13414634146341464</v>
      </c>
      <c r="J8">
        <v>1500000</v>
      </c>
      <c r="K8">
        <f t="shared" si="0"/>
        <v>0.1388888888888889</v>
      </c>
      <c r="L8">
        <v>1300000</v>
      </c>
      <c r="M8">
        <f t="shared" si="1"/>
        <v>0.14606741573033707</v>
      </c>
      <c r="N8">
        <v>1600000</v>
      </c>
      <c r="O8">
        <f t="shared" si="2"/>
        <v>0.1553398058252427</v>
      </c>
      <c r="P8">
        <v>1600000</v>
      </c>
      <c r="Q8">
        <f t="shared" si="6"/>
        <v>0.17204301075268819</v>
      </c>
      <c r="R8">
        <v>2800000</v>
      </c>
      <c r="S8">
        <f t="shared" si="9"/>
        <v>0.26415094339622641</v>
      </c>
      <c r="T8">
        <v>2200000</v>
      </c>
      <c r="U8">
        <f t="shared" si="7"/>
        <v>0.20370370370370369</v>
      </c>
    </row>
    <row r="9" spans="1:34" x14ac:dyDescent="0.25">
      <c r="A9" t="s">
        <v>10</v>
      </c>
      <c r="B9">
        <v>1200000</v>
      </c>
      <c r="C9">
        <f t="shared" si="8"/>
        <v>0.13333333333333333</v>
      </c>
      <c r="D9" t="e">
        <f>#N/A</f>
        <v>#N/A</v>
      </c>
      <c r="E9" t="e">
        <f t="shared" si="3"/>
        <v>#N/A</v>
      </c>
      <c r="F9" t="e">
        <f>#N/A</f>
        <v>#N/A</v>
      </c>
      <c r="G9" t="e">
        <f t="shared" si="4"/>
        <v>#N/A</v>
      </c>
      <c r="H9" t="e">
        <f>#N/A</f>
        <v>#N/A</v>
      </c>
      <c r="I9" t="e">
        <f t="shared" si="5"/>
        <v>#N/A</v>
      </c>
      <c r="J9">
        <v>1100000</v>
      </c>
      <c r="K9">
        <f t="shared" si="0"/>
        <v>0.10185185185185185</v>
      </c>
      <c r="L9" t="e">
        <f>#N/A</f>
        <v>#N/A</v>
      </c>
      <c r="M9" t="e">
        <f t="shared" si="1"/>
        <v>#N/A</v>
      </c>
      <c r="N9" t="e">
        <f>#N/A</f>
        <v>#N/A</v>
      </c>
      <c r="O9" t="e">
        <f t="shared" si="2"/>
        <v>#N/A</v>
      </c>
      <c r="P9" t="e">
        <f>#N/A</f>
        <v>#N/A</v>
      </c>
      <c r="Q9" t="e">
        <f t="shared" si="6"/>
        <v>#N/A</v>
      </c>
      <c r="R9" t="e">
        <f>#N/A</f>
        <v>#N/A</v>
      </c>
      <c r="S9" t="e">
        <f t="shared" si="9"/>
        <v>#N/A</v>
      </c>
      <c r="T9" t="e">
        <f>#N/A</f>
        <v>#N/A</v>
      </c>
      <c r="U9" t="e">
        <f t="shared" si="7"/>
        <v>#N/A</v>
      </c>
    </row>
    <row r="10" spans="1:34" x14ac:dyDescent="0.25">
      <c r="A10" t="s">
        <v>22</v>
      </c>
      <c r="B10" t="e">
        <f>#N/A</f>
        <v>#N/A</v>
      </c>
      <c r="C10" t="e">
        <f t="shared" si="8"/>
        <v>#N/A</v>
      </c>
      <c r="D10">
        <v>800000</v>
      </c>
      <c r="E10">
        <f t="shared" si="3"/>
        <v>0.10256410256410256</v>
      </c>
      <c r="F10">
        <v>1000000</v>
      </c>
      <c r="G10">
        <f t="shared" si="4"/>
        <v>0.11904761904761904</v>
      </c>
      <c r="H10">
        <v>900000</v>
      </c>
      <c r="I10">
        <f t="shared" si="5"/>
        <v>0.10975609756097561</v>
      </c>
      <c r="J10">
        <v>1200000</v>
      </c>
      <c r="K10">
        <f t="shared" si="0"/>
        <v>0.1111111111111111</v>
      </c>
      <c r="L10">
        <v>1100000</v>
      </c>
      <c r="M10">
        <f t="shared" si="1"/>
        <v>0.12359550561797752</v>
      </c>
      <c r="N10">
        <v>1400000</v>
      </c>
      <c r="O10">
        <f t="shared" si="2"/>
        <v>0.13592233009708737</v>
      </c>
      <c r="P10">
        <v>1200000</v>
      </c>
      <c r="Q10">
        <f t="shared" si="6"/>
        <v>0.12903225806451613</v>
      </c>
      <c r="R10">
        <v>1200000</v>
      </c>
      <c r="S10">
        <f t="shared" si="9"/>
        <v>0.11320754716981132</v>
      </c>
      <c r="T10">
        <v>1300000</v>
      </c>
      <c r="U10">
        <f t="shared" si="7"/>
        <v>0.12037037037037036</v>
      </c>
    </row>
    <row r="11" spans="1:34" x14ac:dyDescent="0.25">
      <c r="A11" t="s">
        <v>11</v>
      </c>
      <c r="B11">
        <v>1500000</v>
      </c>
      <c r="C11">
        <f t="shared" si="8"/>
        <v>0.16666666666666666</v>
      </c>
      <c r="D11">
        <v>900000</v>
      </c>
      <c r="E11">
        <f t="shared" si="3"/>
        <v>0.11538461538461539</v>
      </c>
      <c r="F11">
        <v>800000</v>
      </c>
      <c r="G11">
        <f t="shared" si="4"/>
        <v>9.5238095238095233E-2</v>
      </c>
      <c r="H11">
        <v>1000000</v>
      </c>
      <c r="I11">
        <f t="shared" si="5"/>
        <v>0.12195121951219512</v>
      </c>
      <c r="J11">
        <v>1400000</v>
      </c>
      <c r="K11">
        <f t="shared" si="0"/>
        <v>0.12962962962962962</v>
      </c>
      <c r="L11">
        <v>1100000</v>
      </c>
      <c r="M11">
        <f t="shared" si="1"/>
        <v>0.12359550561797752</v>
      </c>
      <c r="N11">
        <v>1300000</v>
      </c>
      <c r="O11">
        <f t="shared" si="2"/>
        <v>0.12621359223300971</v>
      </c>
      <c r="P11">
        <v>1100000</v>
      </c>
      <c r="Q11">
        <f t="shared" si="6"/>
        <v>0.11827956989247312</v>
      </c>
      <c r="R11">
        <v>1100000</v>
      </c>
      <c r="S11">
        <f t="shared" si="9"/>
        <v>0.10377358490566038</v>
      </c>
      <c r="T11">
        <v>1100000</v>
      </c>
      <c r="U11">
        <f t="shared" si="7"/>
        <v>0.10185185185185185</v>
      </c>
    </row>
    <row r="15" spans="1:34" x14ac:dyDescent="0.25">
      <c r="AH15" t="s">
        <v>33</v>
      </c>
    </row>
  </sheetData>
  <sheetProtection algorithmName="SHA-512" hashValue="f1f4GDmEfrpK/BT4QlqB7RVMq25jNoKkj3z5WJfto6PMXYI//cXoogYfXumKsj5TRuZcsJPsJhORaZ4qW888hw==" saltValue="42HoF3Qew382MDdDzcRAPg==" spinCount="100000" sheet="1" objects="1" scenarios="1"/>
  <phoneticPr fontId="0" type="noConversion"/>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1D2E1-2667-4432-893C-15C0D3B15FF1}">
  <dimension ref="A1:H21"/>
  <sheetViews>
    <sheetView workbookViewId="0">
      <selection activeCell="I10" sqref="I10"/>
    </sheetView>
  </sheetViews>
  <sheetFormatPr defaultRowHeight="15" x14ac:dyDescent="0.25"/>
  <cols>
    <col min="1" max="1" width="19.28515625" customWidth="1"/>
    <col min="2" max="8" width="15.7109375" customWidth="1"/>
    <col min="9" max="18" width="10.28515625" customWidth="1"/>
  </cols>
  <sheetData>
    <row r="1" spans="1:8" x14ac:dyDescent="0.25">
      <c r="A1" t="s">
        <v>30</v>
      </c>
      <c r="B1" t="s">
        <v>6</v>
      </c>
      <c r="C1" t="s">
        <v>7</v>
      </c>
      <c r="D1" t="s">
        <v>8</v>
      </c>
      <c r="E1" t="s">
        <v>9</v>
      </c>
      <c r="F1" t="s">
        <v>10</v>
      </c>
      <c r="G1" t="s">
        <v>22</v>
      </c>
      <c r="H1" t="s">
        <v>11</v>
      </c>
    </row>
    <row r="2" spans="1:8" x14ac:dyDescent="0.25">
      <c r="A2" t="s">
        <v>4</v>
      </c>
      <c r="B2">
        <v>1900000</v>
      </c>
      <c r="C2">
        <v>1600000</v>
      </c>
      <c r="D2">
        <v>1500000</v>
      </c>
      <c r="E2">
        <v>1300000</v>
      </c>
      <c r="F2">
        <v>1200000</v>
      </c>
      <c r="H2">
        <v>1500000</v>
      </c>
    </row>
    <row r="3" spans="1:8" x14ac:dyDescent="0.25">
      <c r="A3" t="s">
        <v>2</v>
      </c>
      <c r="B3" s="5">
        <f>(B2/SUMIF($B$2:$H$2,"&lt;&gt;#N/A"))*100%</f>
        <v>0.21111111111111111</v>
      </c>
      <c r="C3" s="5">
        <f>(C2/SUMIF($B$2:$H$2,"&lt;&gt;#N/A"))*100%</f>
        <v>0.17777777777777778</v>
      </c>
      <c r="D3" s="5">
        <f>(D2/SUMIF($B$2:$H$2,"&lt;&gt;#N/A"))*100%</f>
        <v>0.16666666666666666</v>
      </c>
      <c r="E3" s="5">
        <f>(E2/SUMIF($B$2:$H$2,"&lt;&gt;#N/A"))*100%</f>
        <v>0.14444444444444443</v>
      </c>
      <c r="F3" s="5">
        <f>(F2/SUMIF($B$2:$H$2,"&lt;&gt;#N/A"))*100%</f>
        <v>0.13333333333333333</v>
      </c>
      <c r="G3" s="5"/>
      <c r="H3" s="5">
        <f>(H2/SUMIF($B$2:$H$2,"&lt;&gt;#N/A"))*100%</f>
        <v>0.16666666666666666</v>
      </c>
    </row>
    <row r="4" spans="1:8" x14ac:dyDescent="0.25">
      <c r="A4" t="s">
        <v>14</v>
      </c>
      <c r="B4">
        <v>1900000</v>
      </c>
      <c r="C4">
        <v>1800000</v>
      </c>
      <c r="D4">
        <v>1300000</v>
      </c>
      <c r="E4">
        <v>1100000</v>
      </c>
      <c r="G4">
        <v>800000</v>
      </c>
      <c r="H4">
        <v>900000</v>
      </c>
    </row>
    <row r="5" spans="1:8" x14ac:dyDescent="0.25">
      <c r="A5" t="s">
        <v>15</v>
      </c>
      <c r="B5" s="5">
        <f>(B4/SUMIF($B$4:$H$4,"&lt;&gt;#N/A"))*100%</f>
        <v>0.24358974358974358</v>
      </c>
      <c r="C5" s="5">
        <f>(C4/SUMIF($B$4:$H$4,"&lt;&gt;#N/A"))*100%</f>
        <v>0.23076923076923078</v>
      </c>
      <c r="D5" s="5">
        <f>(D4/SUMIF($B$4:$H$4,"&lt;&gt;#N/A"))*100%</f>
        <v>0.16666666666666666</v>
      </c>
      <c r="E5" s="5">
        <f>(E4/SUMIF($B$4:$H$4,"&lt;&gt;#N/A"))*100%</f>
        <v>0.14102564102564102</v>
      </c>
      <c r="F5" s="5"/>
      <c r="G5" s="5">
        <f>(G4/SUMIF($B$4:$H$4,"&lt;&gt;#N/A"))*100%</f>
        <v>0.10256410256410256</v>
      </c>
      <c r="H5" s="5">
        <f>(H4/SUMIF($B$4:$H$4,"&lt;&gt;#N/A"))*100%</f>
        <v>0.11538461538461539</v>
      </c>
    </row>
    <row r="6" spans="1:8" x14ac:dyDescent="0.25">
      <c r="A6" t="s">
        <v>20</v>
      </c>
      <c r="B6">
        <v>1800000</v>
      </c>
      <c r="C6">
        <v>2200000</v>
      </c>
      <c r="D6">
        <v>1500000</v>
      </c>
      <c r="E6">
        <v>1100000</v>
      </c>
      <c r="G6">
        <v>1000000</v>
      </c>
      <c r="H6">
        <v>800000</v>
      </c>
    </row>
    <row r="7" spans="1:8" x14ac:dyDescent="0.25">
      <c r="A7" t="s">
        <v>21</v>
      </c>
      <c r="B7" s="5">
        <f>(B6/SUMIF($B$6:$H$6,"&lt;&gt;#N/A"))*100%</f>
        <v>0.21428571428571427</v>
      </c>
      <c r="C7" s="5">
        <f>(C6/SUMIF($B$6:$H$6,"&lt;&gt;#N/A"))*100%</f>
        <v>0.26190476190476192</v>
      </c>
      <c r="D7" s="5">
        <f>(D6/SUMIF($B$6:$H$6,"&lt;&gt;#N/A"))*100%</f>
        <v>0.17857142857142858</v>
      </c>
      <c r="E7" s="5">
        <f>(E6/SUMIF($B$6:$H$6,"&lt;&gt;#N/A"))*100%</f>
        <v>0.13095238095238096</v>
      </c>
      <c r="F7" s="5"/>
      <c r="G7" s="5">
        <f>(G6/SUMIF($B$6:$H$6,"&lt;&gt;#N/A"))*100%</f>
        <v>0.11904761904761904</v>
      </c>
      <c r="H7" s="5">
        <f>(H6/SUMIF($B$6:$H$6,"&lt;&gt;#N/A"))*100%</f>
        <v>9.5238095238095233E-2</v>
      </c>
    </row>
    <row r="8" spans="1:8" x14ac:dyDescent="0.25">
      <c r="A8" t="s">
        <v>26</v>
      </c>
      <c r="B8">
        <v>1800000</v>
      </c>
      <c r="C8">
        <v>1900000</v>
      </c>
      <c r="D8">
        <v>1500000</v>
      </c>
      <c r="E8">
        <v>1100000</v>
      </c>
      <c r="G8">
        <v>900000</v>
      </c>
      <c r="H8">
        <v>1000000</v>
      </c>
    </row>
    <row r="9" spans="1:8" x14ac:dyDescent="0.25">
      <c r="A9" t="s">
        <v>27</v>
      </c>
      <c r="B9" s="5">
        <f>(B8/SUMIF($B$8:$H$8,"&lt;&gt;#N/A"))*100%</f>
        <v>0.21951219512195122</v>
      </c>
      <c r="C9" s="5">
        <f>(C8/SUMIF($B$8:$H$8,"&lt;&gt;#N/A"))*100%</f>
        <v>0.23170731707317074</v>
      </c>
      <c r="D9" s="5">
        <f>(D8/SUMIF($B$8:$H$8,"&lt;&gt;#N/A"))*100%</f>
        <v>0.18292682926829268</v>
      </c>
      <c r="E9" s="5">
        <f>(E8/SUMIF($B$8:$H$8,"&lt;&gt;#N/A"))*100%</f>
        <v>0.13414634146341464</v>
      </c>
      <c r="F9" s="5"/>
      <c r="G9" s="5">
        <f>(G8/SUMIF($B$8:$H$8,"&lt;&gt;#N/A"))*100%</f>
        <v>0.10975609756097561</v>
      </c>
      <c r="H9" s="5">
        <f>(H8/SUMIF($B$8:$H$8,"&lt;&gt;#N/A"))*100%</f>
        <v>0.12195121951219512</v>
      </c>
    </row>
    <row r="10" spans="1:8" x14ac:dyDescent="0.25">
      <c r="A10" t="s">
        <v>13</v>
      </c>
      <c r="B10">
        <v>1900000</v>
      </c>
      <c r="C10">
        <v>2000000</v>
      </c>
      <c r="D10">
        <v>1700000</v>
      </c>
      <c r="E10">
        <v>1500000</v>
      </c>
      <c r="F10">
        <v>1100000</v>
      </c>
      <c r="G10">
        <v>1200000</v>
      </c>
      <c r="H10">
        <v>1400000</v>
      </c>
    </row>
    <row r="11" spans="1:8" x14ac:dyDescent="0.25">
      <c r="A11" t="s">
        <v>5</v>
      </c>
      <c r="B11" s="5">
        <f t="shared" ref="B11:H11" si="0">B10/SUMIF($B$10:$H$10,"&lt;&gt;#N/A")*100%</f>
        <v>0.17592592592592593</v>
      </c>
      <c r="C11" s="5">
        <f t="shared" si="0"/>
        <v>0.18518518518518517</v>
      </c>
      <c r="D11" s="5">
        <f t="shared" si="0"/>
        <v>0.15740740740740741</v>
      </c>
      <c r="E11" s="5">
        <f t="shared" si="0"/>
        <v>0.1388888888888889</v>
      </c>
      <c r="F11" s="5">
        <f t="shared" si="0"/>
        <v>0.10185185185185185</v>
      </c>
      <c r="G11" s="5">
        <f t="shared" si="0"/>
        <v>0.1111111111111111</v>
      </c>
      <c r="H11" s="5">
        <f t="shared" si="0"/>
        <v>0.12962962962962962</v>
      </c>
    </row>
    <row r="12" spans="1:8" x14ac:dyDescent="0.25">
      <c r="A12" t="s">
        <v>18</v>
      </c>
      <c r="B12">
        <v>2100000</v>
      </c>
      <c r="C12">
        <v>1800000</v>
      </c>
      <c r="D12">
        <v>1500000</v>
      </c>
      <c r="E12">
        <v>1300000</v>
      </c>
      <c r="G12">
        <v>1100000</v>
      </c>
      <c r="H12">
        <v>1100000</v>
      </c>
    </row>
    <row r="13" spans="1:8" x14ac:dyDescent="0.25">
      <c r="A13" t="s">
        <v>19</v>
      </c>
      <c r="B13" s="5">
        <f>(B12/SUMIF($B$12:$H$12,"&lt;&gt;#N/A"))*100%</f>
        <v>0.23595505617977527</v>
      </c>
      <c r="C13" s="5">
        <f>(C12/SUMIF($B$12:$H$12,"&lt;&gt;#N/A"))*100%</f>
        <v>0.20224719101123595</v>
      </c>
      <c r="D13" s="5">
        <f>(D12/SUMIF($B$12:$H$12,"&lt;&gt;#N/A"))*100%</f>
        <v>0.16853932584269662</v>
      </c>
      <c r="E13" s="5">
        <f>(E12/SUMIF($B$12:$H$12,"&lt;&gt;#N/A"))*100%</f>
        <v>0.14606741573033707</v>
      </c>
      <c r="F13" s="5"/>
      <c r="G13" s="5">
        <f>(G12/SUMIF($B$12:$H$12,"&lt;&gt;#N/A"))*100%</f>
        <v>0.12359550561797752</v>
      </c>
      <c r="H13" s="5">
        <f>(H12/SUMIF($B$12:$H$12,"&lt;&gt;#N/A"))*100%</f>
        <v>0.12359550561797752</v>
      </c>
    </row>
    <row r="14" spans="1:8" x14ac:dyDescent="0.25">
      <c r="A14" t="s">
        <v>24</v>
      </c>
      <c r="B14">
        <v>1900000</v>
      </c>
      <c r="C14">
        <v>2100000</v>
      </c>
      <c r="D14">
        <v>2000000</v>
      </c>
      <c r="E14">
        <v>1600000</v>
      </c>
      <c r="G14">
        <v>1400000</v>
      </c>
      <c r="H14">
        <v>1300000</v>
      </c>
    </row>
    <row r="15" spans="1:8" x14ac:dyDescent="0.25">
      <c r="A15" t="s">
        <v>25</v>
      </c>
      <c r="B15" s="5">
        <f>(B14/SUMIF($B$14:$H$14,"&lt;&gt;#N/A"))*100%</f>
        <v>0.18446601941747573</v>
      </c>
      <c r="C15" s="5">
        <f>(C14/SUMIF($B$14:$H$14,"&lt;&gt;#N/A"))*100%</f>
        <v>0.20388349514563106</v>
      </c>
      <c r="D15" s="5">
        <f>(D14/SUMIF($B$14:$H$14,"&lt;&gt;#N/A"))*100%</f>
        <v>0.1941747572815534</v>
      </c>
      <c r="E15" s="5">
        <f>(E14/SUMIF($B$14:$H$14,"&lt;&gt;#N/A"))*100%</f>
        <v>0.1553398058252427</v>
      </c>
      <c r="F15" s="5"/>
      <c r="G15" s="5">
        <f>(G14/SUMIF($B$14:$H$14,"&lt;&gt;#N/A"))*100%</f>
        <v>0.13592233009708737</v>
      </c>
      <c r="H15" s="5">
        <f>(H14/SUMIF($B$14:$H$14,"&lt;&gt;#N/A"))*100%</f>
        <v>0.12621359223300971</v>
      </c>
    </row>
    <row r="16" spans="1:8" x14ac:dyDescent="0.25">
      <c r="A16" t="s">
        <v>28</v>
      </c>
      <c r="B16">
        <v>1500000</v>
      </c>
      <c r="C16">
        <v>2000000</v>
      </c>
      <c r="D16">
        <v>1900000</v>
      </c>
      <c r="E16">
        <v>1600000</v>
      </c>
      <c r="G16">
        <v>1200000</v>
      </c>
      <c r="H16">
        <v>1100000</v>
      </c>
    </row>
    <row r="17" spans="1:8" x14ac:dyDescent="0.25">
      <c r="A17" t="s">
        <v>29</v>
      </c>
      <c r="B17" s="5">
        <f>(B16/SUMIF($B$16:$H$16,"&lt;&gt;#N/A"))*100%</f>
        <v>0.16129032258064516</v>
      </c>
      <c r="C17" s="5">
        <f>(C16/SUMIF($B$16:$H$16,"&lt;&gt;#N/A"))*100%</f>
        <v>0.21505376344086022</v>
      </c>
      <c r="D17" s="5">
        <f>(D16/SUMIF($B$16:$H$16,"&lt;&gt;#N/A"))*100%</f>
        <v>0.20430107526881722</v>
      </c>
      <c r="E17" s="5">
        <f>(E16/SUMIF($B$16:$H$16,"&lt;&gt;#N/A"))*100%</f>
        <v>0.17204301075268819</v>
      </c>
      <c r="F17" s="5"/>
      <c r="G17" s="5">
        <f>(G16/SUMIF($B$16:$H$16,"&lt;&gt;#N/A"))*100%</f>
        <v>0.12903225806451613</v>
      </c>
      <c r="H17" s="5">
        <f>(H16/SUMIF($B$16:$H$16,"&lt;&gt;#N/A"))*100%</f>
        <v>0.11827956989247312</v>
      </c>
    </row>
    <row r="18" spans="1:8" x14ac:dyDescent="0.25">
      <c r="A18" t="s">
        <v>31</v>
      </c>
      <c r="B18">
        <v>1700000</v>
      </c>
      <c r="C18">
        <v>2000000</v>
      </c>
      <c r="D18">
        <v>1800000</v>
      </c>
      <c r="E18">
        <v>2800000</v>
      </c>
      <c r="G18">
        <v>1200000</v>
      </c>
      <c r="H18">
        <v>1100000</v>
      </c>
    </row>
    <row r="19" spans="1:8" x14ac:dyDescent="0.25">
      <c r="A19" t="s">
        <v>32</v>
      </c>
      <c r="B19" s="5">
        <f>(B18/SUMIF($B$18:$H$18,"&lt;&gt;#N/A"))*100%</f>
        <v>0.16037735849056603</v>
      </c>
      <c r="C19" s="5">
        <f>(C18/SUMIF($B$18:$H$18,"&lt;&gt;#N/A"))*100%</f>
        <v>0.18867924528301888</v>
      </c>
      <c r="D19" s="5">
        <f>(D18/SUMIF($B$18:$H$18,"&lt;&gt;#N/A"))*100%</f>
        <v>0.16981132075471697</v>
      </c>
      <c r="E19" s="5">
        <f>(E18/SUMIF($B$18:$H$18,"&lt;&gt;#N/A"))*100%</f>
        <v>0.26415094339622641</v>
      </c>
      <c r="F19" s="5"/>
      <c r="G19" s="5">
        <f>(G18/SUMIF($B$18:$H$18,"&lt;&gt;#N/A"))*100%</f>
        <v>0.11320754716981132</v>
      </c>
      <c r="H19" s="5">
        <f>(H18/SUMIF($B$18:$H$18,"&lt;&gt;#N/A"))*100%</f>
        <v>0.10377358490566038</v>
      </c>
    </row>
    <row r="20" spans="1:8" x14ac:dyDescent="0.25">
      <c r="A20" t="s">
        <v>34</v>
      </c>
      <c r="B20">
        <v>2000000</v>
      </c>
      <c r="C20">
        <v>2500000</v>
      </c>
      <c r="D20">
        <v>1700000</v>
      </c>
      <c r="E20">
        <v>2200000</v>
      </c>
      <c r="G20">
        <v>1300000</v>
      </c>
      <c r="H20">
        <v>1100000</v>
      </c>
    </row>
    <row r="21" spans="1:8" x14ac:dyDescent="0.25">
      <c r="A21" t="s">
        <v>35</v>
      </c>
      <c r="B21" s="5">
        <f>(B20/SUMIF($B$20:$H$20,"&lt;&gt;#N/A"))*100%</f>
        <v>0.18518518518518517</v>
      </c>
      <c r="C21" s="5">
        <f>(C20/SUMIF($B$20:$H$20,"&lt;&gt;#N/A"))*100%</f>
        <v>0.23148148148148148</v>
      </c>
      <c r="D21" s="5">
        <f>(D20/SUMIF($B$20:$H$20,"&lt;&gt;#N/A"))*100%</f>
        <v>0.15740740740740741</v>
      </c>
      <c r="E21" s="5">
        <f>(E20/SUMIF($B$20:$H$20,"&lt;&gt;#N/A"))*100%</f>
        <v>0.20370370370370369</v>
      </c>
      <c r="F21" s="5"/>
      <c r="G21" s="5">
        <f>(G20/SUMIF($B$20:$H$20,"&lt;&gt;#N/A"))*100%</f>
        <v>0.12037037037037036</v>
      </c>
      <c r="H21" s="5">
        <f>(H20/SUMIF($B$20:$H$20,"&lt;&gt;#N/A"))*100%</f>
        <v>0.10185185185185185</v>
      </c>
    </row>
  </sheetData>
  <sheetProtection algorithmName="SHA-512" hashValue="DB2ysdCzu7mtyyhutdNo62YJEpL/PziPlBxPE2s/8sf83qPrjpa44TKgd11gNb6/5v7akLKT+0gjkaCZzvezBw==" saltValue="JN8sm/cLjOrnEGrPld4XhQ==" spinCount="100000" sheet="1" objects="1" scenarios="1"/>
  <phoneticPr fontId="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29F1-B495-4162-8059-62E58E7C89A1}">
  <dimension ref="A1:H11"/>
  <sheetViews>
    <sheetView workbookViewId="0">
      <selection activeCell="K5" sqref="K5"/>
    </sheetView>
  </sheetViews>
  <sheetFormatPr defaultRowHeight="15" x14ac:dyDescent="0.25"/>
  <sheetData>
    <row r="1" spans="1:8" x14ac:dyDescent="0.25">
      <c r="A1" t="s">
        <v>30</v>
      </c>
      <c r="B1" t="s">
        <v>6</v>
      </c>
      <c r="C1" t="s">
        <v>7</v>
      </c>
      <c r="D1" t="s">
        <v>8</v>
      </c>
      <c r="E1" t="s">
        <v>9</v>
      </c>
      <c r="F1" t="s">
        <v>10</v>
      </c>
      <c r="G1" t="s">
        <v>22</v>
      </c>
      <c r="H1" t="s">
        <v>11</v>
      </c>
    </row>
    <row r="2" spans="1:8" x14ac:dyDescent="0.25">
      <c r="A2" t="s">
        <v>36</v>
      </c>
      <c r="B2">
        <v>2000000</v>
      </c>
      <c r="C2">
        <v>2500000</v>
      </c>
      <c r="D2">
        <v>1700000</v>
      </c>
      <c r="E2">
        <v>2200000</v>
      </c>
      <c r="G2">
        <v>1300000</v>
      </c>
      <c r="H2">
        <v>1100000</v>
      </c>
    </row>
    <row r="3" spans="1:8" x14ac:dyDescent="0.25">
      <c r="A3" t="s">
        <v>37</v>
      </c>
      <c r="B3">
        <v>1700000</v>
      </c>
      <c r="C3">
        <v>2000000</v>
      </c>
      <c r="D3">
        <v>1800000</v>
      </c>
      <c r="E3">
        <v>2800000</v>
      </c>
      <c r="G3">
        <v>1200000</v>
      </c>
      <c r="H3">
        <v>1100000</v>
      </c>
    </row>
    <row r="4" spans="1:8" x14ac:dyDescent="0.25">
      <c r="A4" t="s">
        <v>38</v>
      </c>
      <c r="B4">
        <v>1500000</v>
      </c>
      <c r="C4">
        <v>2000000</v>
      </c>
      <c r="D4">
        <v>1900000</v>
      </c>
      <c r="E4">
        <v>1600000</v>
      </c>
      <c r="G4">
        <v>1200000</v>
      </c>
      <c r="H4">
        <v>1100000</v>
      </c>
    </row>
    <row r="5" spans="1:8" x14ac:dyDescent="0.25">
      <c r="A5" t="s">
        <v>23</v>
      </c>
      <c r="B5">
        <v>1900000</v>
      </c>
      <c r="C5">
        <v>2100000</v>
      </c>
      <c r="D5">
        <v>2000000</v>
      </c>
      <c r="E5">
        <v>1600000</v>
      </c>
      <c r="G5">
        <v>1400000</v>
      </c>
      <c r="H5">
        <v>1300000</v>
      </c>
    </row>
    <row r="6" spans="1:8" x14ac:dyDescent="0.25">
      <c r="A6" t="s">
        <v>16</v>
      </c>
      <c r="B6">
        <v>2100000</v>
      </c>
      <c r="C6">
        <v>1800000</v>
      </c>
      <c r="D6">
        <v>1500000</v>
      </c>
      <c r="E6">
        <v>1300000</v>
      </c>
      <c r="G6">
        <v>1100000</v>
      </c>
      <c r="H6">
        <v>1100000</v>
      </c>
    </row>
    <row r="7" spans="1:8" x14ac:dyDescent="0.25">
      <c r="A7" t="s">
        <v>3</v>
      </c>
      <c r="B7">
        <v>1900000</v>
      </c>
      <c r="C7">
        <v>2000000</v>
      </c>
      <c r="D7">
        <v>1700000</v>
      </c>
      <c r="E7">
        <v>1500000</v>
      </c>
      <c r="F7">
        <v>1100000</v>
      </c>
      <c r="G7">
        <v>1200000</v>
      </c>
      <c r="H7">
        <v>1400000</v>
      </c>
    </row>
    <row r="8" spans="1:8" x14ac:dyDescent="0.25">
      <c r="A8" t="s">
        <v>40</v>
      </c>
      <c r="B8">
        <v>1800000</v>
      </c>
      <c r="C8">
        <v>1900000</v>
      </c>
      <c r="D8">
        <v>1500000</v>
      </c>
      <c r="E8">
        <v>1100000</v>
      </c>
      <c r="G8">
        <v>900000</v>
      </c>
      <c r="H8">
        <v>1000000</v>
      </c>
    </row>
    <row r="9" spans="1:8" x14ac:dyDescent="0.25">
      <c r="A9" t="s">
        <v>39</v>
      </c>
      <c r="B9">
        <v>1800000</v>
      </c>
      <c r="C9">
        <v>2200000</v>
      </c>
      <c r="D9">
        <v>1500000</v>
      </c>
      <c r="E9">
        <v>1100000</v>
      </c>
      <c r="G9">
        <v>1000000</v>
      </c>
      <c r="H9">
        <v>800000</v>
      </c>
    </row>
    <row r="10" spans="1:8" x14ac:dyDescent="0.25">
      <c r="A10" t="s">
        <v>17</v>
      </c>
      <c r="B10">
        <v>1900000</v>
      </c>
      <c r="C10">
        <v>1800000</v>
      </c>
      <c r="D10">
        <v>1300000</v>
      </c>
      <c r="E10">
        <v>1100000</v>
      </c>
      <c r="G10">
        <v>800000</v>
      </c>
      <c r="H10">
        <v>900000</v>
      </c>
    </row>
    <row r="11" spans="1:8" x14ac:dyDescent="0.25">
      <c r="A11" t="s">
        <v>1</v>
      </c>
      <c r="B11">
        <v>1900000</v>
      </c>
      <c r="C11">
        <v>1600000</v>
      </c>
      <c r="D11">
        <v>1500000</v>
      </c>
      <c r="E11">
        <v>1300000</v>
      </c>
      <c r="F11">
        <v>1200000</v>
      </c>
      <c r="H11">
        <v>1500000</v>
      </c>
    </row>
  </sheetData>
  <sheetProtection algorithmName="SHA-512" hashValue="tXBqjX9mO2fFIpprBP/X7KzOJfRxRnaq20/sBKk8qd8iyZxvUM5KBFBHjQSBHT6SHYUvY6kFs4VcjfQ5ZzUGfw==" saltValue="eszTuSXun4fOdujHKdjLUg=="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75B1D-F236-4ED7-BB5E-094FA1ED58D8}">
  <dimension ref="A1:K11"/>
  <sheetViews>
    <sheetView workbookViewId="0">
      <selection activeCell="G4" sqref="G4"/>
    </sheetView>
  </sheetViews>
  <sheetFormatPr defaultRowHeight="15" x14ac:dyDescent="0.25"/>
  <sheetData>
    <row r="1" spans="1:11" x14ac:dyDescent="0.25">
      <c r="A1" t="s">
        <v>30</v>
      </c>
      <c r="B1" t="s">
        <v>36</v>
      </c>
      <c r="C1" t="s">
        <v>37</v>
      </c>
      <c r="D1" t="s">
        <v>38</v>
      </c>
      <c r="E1" t="s">
        <v>23</v>
      </c>
      <c r="F1" t="s">
        <v>16</v>
      </c>
      <c r="G1" t="s">
        <v>3</v>
      </c>
      <c r="H1" t="s">
        <v>40</v>
      </c>
      <c r="I1" t="s">
        <v>39</v>
      </c>
      <c r="J1" t="s">
        <v>17</v>
      </c>
      <c r="K1" t="s">
        <v>1</v>
      </c>
    </row>
    <row r="2" spans="1:11" x14ac:dyDescent="0.25">
      <c r="A2" t="s">
        <v>6</v>
      </c>
      <c r="F2" s="7">
        <f>((Shipments!B6-Shipments!B2)/Shipments!B2)*100%</f>
        <v>0.05</v>
      </c>
      <c r="G2" s="7">
        <f>((Shipments!B7-Shipments!B3)/Shipments!B3)*100%</f>
        <v>0.11764705882352941</v>
      </c>
      <c r="H2" s="7">
        <f>((Shipments!B8-Shipments!B4)/Shipments!B4)*100%</f>
        <v>0.2</v>
      </c>
      <c r="I2" s="7">
        <f>((Shipments!B9-Shipments!B5)/Shipments!B5)*100%</f>
        <v>-5.2631578947368418E-2</v>
      </c>
      <c r="J2" s="7">
        <f>((Shipments!B10-Shipments!B6)/Shipments!B6)*100%</f>
        <v>-9.5238095238095233E-2</v>
      </c>
      <c r="K2" s="7">
        <f>((Shipments!B11-Shipments!B7)/Shipments!B7)*100%</f>
        <v>0</v>
      </c>
    </row>
    <row r="3" spans="1:11" x14ac:dyDescent="0.25">
      <c r="A3" t="s">
        <v>7</v>
      </c>
      <c r="F3" s="7">
        <f>((Shipments!C6-Shipments!C2)/Shipments!C2)*100%</f>
        <v>-0.28000000000000003</v>
      </c>
      <c r="G3" s="7">
        <f>((Shipments!C7-Shipments!C3)/Shipments!C3)*100%</f>
        <v>0</v>
      </c>
      <c r="H3" s="7">
        <f>((Shipments!C8-Shipments!C4)/Shipments!C4)*100%</f>
        <v>-0.05</v>
      </c>
      <c r="I3" s="7">
        <f>((Shipments!C9-Shipments!C5)/Shipments!C5)*100%</f>
        <v>4.7619047619047616E-2</v>
      </c>
      <c r="J3" s="7">
        <f>((Shipments!C10-Shipments!C6)/Shipments!C6)*100%</f>
        <v>0</v>
      </c>
      <c r="K3" s="7">
        <f>((Shipments!C11-Shipments!C7)/Shipments!C7)*100%</f>
        <v>-0.2</v>
      </c>
    </row>
    <row r="4" spans="1:11" x14ac:dyDescent="0.25">
      <c r="A4" t="s">
        <v>8</v>
      </c>
      <c r="F4" s="7">
        <f>((Shipments!D6-Shipments!D2)/Shipments!D2)*100%</f>
        <v>-0.11764705882352941</v>
      </c>
      <c r="G4" s="7">
        <f>((Shipments!D7-Shipments!D3)/Shipments!D3)*100%</f>
        <v>-5.5555555555555552E-2</v>
      </c>
      <c r="H4" s="7">
        <f>((Shipments!D8-Shipments!D4)/Shipments!D4)*100%</f>
        <v>-0.21052631578947367</v>
      </c>
      <c r="I4" s="7">
        <f>((Shipments!D9-Shipments!D5)/Shipments!D5)*100%</f>
        <v>-0.25</v>
      </c>
      <c r="J4" s="7">
        <f>((Shipments!D10-Shipments!D6)/Shipments!D6)*100%</f>
        <v>-0.13333333333333333</v>
      </c>
      <c r="K4" s="7">
        <f>((Shipments!D11-Shipments!D7)/Shipments!D7)*100%</f>
        <v>-0.11764705882352941</v>
      </c>
    </row>
    <row r="5" spans="1:11" x14ac:dyDescent="0.25">
      <c r="A5" t="s">
        <v>9</v>
      </c>
      <c r="F5" s="7">
        <f>((Shipments!E6-Shipments!E2)/Shipments!E2)*100%</f>
        <v>-0.40909090909090912</v>
      </c>
      <c r="G5" s="7">
        <f>((Shipments!E7-Shipments!E3)/Shipments!E3)*100%</f>
        <v>-0.4642857142857143</v>
      </c>
      <c r="H5" s="7">
        <f>((Shipments!E8-Shipments!E4)/Shipments!E4)*100%</f>
        <v>-0.3125</v>
      </c>
      <c r="I5" s="7">
        <f>((Shipments!E9-Shipments!E5)/Shipments!E5)*100%</f>
        <v>-0.3125</v>
      </c>
      <c r="J5" s="7">
        <f>((Shipments!E10-Shipments!E6)/Shipments!E6)*100%</f>
        <v>-0.15384615384615385</v>
      </c>
      <c r="K5" s="7">
        <f>((Shipments!E11-Shipments!E7)/Shipments!E7)*100%</f>
        <v>-0.13333333333333333</v>
      </c>
    </row>
    <row r="6" spans="1:11" x14ac:dyDescent="0.25">
      <c r="A6" t="s">
        <v>10</v>
      </c>
      <c r="F6" s="7"/>
      <c r="K6" s="7">
        <f>((Shipments!F11-Shipments!F7)/Shipments!F7)*100%</f>
        <v>9.0909090909090912E-2</v>
      </c>
    </row>
    <row r="7" spans="1:11" x14ac:dyDescent="0.25">
      <c r="A7" t="s">
        <v>22</v>
      </c>
      <c r="F7" s="7">
        <f>((Shipments!G6-Shipments!G2)/Shipments!G2)*100%</f>
        <v>-0.15384615384615385</v>
      </c>
      <c r="G7" s="7">
        <f>((Shipments!G7-Shipments!G3)/Shipments!G3)*100%</f>
        <v>0</v>
      </c>
      <c r="H7" s="7">
        <f>((Shipments!G8-Shipments!G4)/Shipments!G4)*100%</f>
        <v>-0.25</v>
      </c>
      <c r="I7" s="7">
        <f>((Shipments!G9-Shipments!G5)/Shipments!G5)*100%</f>
        <v>-0.2857142857142857</v>
      </c>
      <c r="J7" s="7">
        <f>((Shipments!G10-Shipments!G6)/Shipments!G6)*100%</f>
        <v>-0.27272727272727271</v>
      </c>
      <c r="K7" s="7"/>
    </row>
    <row r="8" spans="1:11" x14ac:dyDescent="0.25">
      <c r="A8" t="s">
        <v>11</v>
      </c>
      <c r="F8" s="7">
        <f>((Shipments!H6-Shipments!H2)/Shipments!H2)*100%</f>
        <v>0</v>
      </c>
      <c r="G8" s="7">
        <f>((Shipments!H7-Shipments!H3)/Shipments!H3)*100%</f>
        <v>0.27272727272727271</v>
      </c>
      <c r="H8" s="7">
        <f>((Shipments!H8-Shipments!H4)/Shipments!H4)*100%</f>
        <v>-9.0909090909090912E-2</v>
      </c>
      <c r="I8" s="7">
        <f>((Shipments!H9-Shipments!H5)/Shipments!H5)*100%</f>
        <v>-0.38461538461538464</v>
      </c>
      <c r="J8" s="7">
        <f>((Shipments!H10-Shipments!H6)/Shipments!H6)*100%</f>
        <v>-0.18181818181818182</v>
      </c>
      <c r="K8" s="7">
        <f>((Shipments!H11-Shipments!H7)/Shipments!H7)*100%</f>
        <v>7.1428571428571425E-2</v>
      </c>
    </row>
    <row r="11" spans="1:11" x14ac:dyDescent="0.25">
      <c r="G11" s="7"/>
    </row>
  </sheetData>
  <sheetProtection algorithmName="SHA-512" hashValue="OcwVnMF+iTRjcWDnNT7kJsBNAXp3oPC+MhLR+A+5KyUC11GNCg0Prl+GjZGojGEqc18+X4/4SwL0peGF8B5+Vg==" saltValue="xPiyC9pJ4bX5Q5kfhpApHQ==" spinCount="100000" sheet="1" objects="1" scenarios="1"/>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A93C6-DAA6-442D-93DE-BAE8BBCFD444}">
  <dimension ref="A1:H15"/>
  <sheetViews>
    <sheetView workbookViewId="0">
      <selection activeCell="I21" sqref="I21"/>
    </sheetView>
  </sheetViews>
  <sheetFormatPr defaultRowHeight="15" x14ac:dyDescent="0.25"/>
  <cols>
    <col min="1" max="1" width="7.42578125" bestFit="1" customWidth="1"/>
    <col min="2" max="3" width="7.85546875" bestFit="1" customWidth="1"/>
    <col min="4" max="4" width="8.85546875" bestFit="1" customWidth="1"/>
    <col min="5" max="5" width="9.42578125" bestFit="1" customWidth="1"/>
    <col min="6" max="8" width="7.85546875" bestFit="1" customWidth="1"/>
    <col min="9" max="17" width="12.7109375" bestFit="1" customWidth="1"/>
    <col min="18" max="18" width="12" bestFit="1" customWidth="1"/>
    <col min="19" max="19" width="12.7109375" bestFit="1" customWidth="1"/>
    <col min="20" max="20" width="12" bestFit="1" customWidth="1"/>
    <col min="21" max="22" width="12.7109375" bestFit="1" customWidth="1"/>
    <col min="23" max="24" width="12" bestFit="1" customWidth="1"/>
    <col min="25" max="27" width="12.7109375" bestFit="1" customWidth="1"/>
    <col min="28" max="29" width="12" bestFit="1" customWidth="1"/>
    <col min="30" max="33" width="12.7109375" bestFit="1" customWidth="1"/>
    <col min="34" max="34" width="12" bestFit="1" customWidth="1"/>
    <col min="35" max="38" width="12.7109375" bestFit="1" customWidth="1"/>
    <col min="39" max="40" width="12" bestFit="1" customWidth="1"/>
    <col min="41" max="42" width="12.7109375" bestFit="1" customWidth="1"/>
  </cols>
  <sheetData>
    <row r="1" spans="1:8" x14ac:dyDescent="0.25">
      <c r="A1" t="s">
        <v>70</v>
      </c>
      <c r="B1" s="2" t="s">
        <v>7</v>
      </c>
      <c r="C1" s="2" t="s">
        <v>11</v>
      </c>
      <c r="D1" s="2" t="s">
        <v>22</v>
      </c>
      <c r="E1" s="2" t="s">
        <v>6</v>
      </c>
      <c r="F1" s="2" t="s">
        <v>10</v>
      </c>
      <c r="G1" s="2" t="s">
        <v>8</v>
      </c>
      <c r="H1" s="2" t="s">
        <v>9</v>
      </c>
    </row>
    <row r="2" spans="1:8" x14ac:dyDescent="0.25">
      <c r="A2" t="s">
        <v>16</v>
      </c>
      <c r="B2" s="8">
        <v>-0.28000000000000003</v>
      </c>
      <c r="C2" s="8">
        <v>0</v>
      </c>
      <c r="D2" s="8">
        <v>-0.15384615384615385</v>
      </c>
      <c r="E2" s="8">
        <v>0.05</v>
      </c>
      <c r="F2" s="8"/>
      <c r="G2" s="8">
        <v>-0.11764705882352941</v>
      </c>
      <c r="H2" s="8">
        <v>-0.40909090909090912</v>
      </c>
    </row>
    <row r="3" spans="1:8" x14ac:dyDescent="0.25">
      <c r="A3" t="s">
        <v>3</v>
      </c>
      <c r="B3" s="8">
        <v>0</v>
      </c>
      <c r="C3" s="8">
        <v>0.27272727272727271</v>
      </c>
      <c r="D3" s="8">
        <v>0</v>
      </c>
      <c r="E3" s="8">
        <v>0.11764705882352941</v>
      </c>
      <c r="F3" s="8"/>
      <c r="G3" s="8">
        <v>-5.5555555555555552E-2</v>
      </c>
      <c r="H3" s="8">
        <v>-0.4642857142857143</v>
      </c>
    </row>
    <row r="4" spans="1:8" x14ac:dyDescent="0.25">
      <c r="A4" t="s">
        <v>40</v>
      </c>
      <c r="B4" s="8">
        <v>-0.05</v>
      </c>
      <c r="C4" s="8">
        <v>-9.0909090909090912E-2</v>
      </c>
      <c r="D4" s="8">
        <v>-0.25</v>
      </c>
      <c r="E4" s="8">
        <v>0.2</v>
      </c>
      <c r="F4" s="8"/>
      <c r="G4" s="8">
        <v>-0.21052631578947367</v>
      </c>
      <c r="H4" s="8">
        <v>-0.3125</v>
      </c>
    </row>
    <row r="5" spans="1:8" x14ac:dyDescent="0.25">
      <c r="A5" t="s">
        <v>39</v>
      </c>
      <c r="B5" s="8">
        <v>4.7619047619047616E-2</v>
      </c>
      <c r="C5" s="8">
        <v>-0.38461538461538464</v>
      </c>
      <c r="D5" s="8">
        <v>-0.2857142857142857</v>
      </c>
      <c r="E5" s="8">
        <v>-5.2631578947368418E-2</v>
      </c>
      <c r="F5" s="8"/>
      <c r="G5" s="8">
        <v>-0.25</v>
      </c>
      <c r="H5" s="8">
        <v>-0.3125</v>
      </c>
    </row>
    <row r="6" spans="1:8" x14ac:dyDescent="0.25">
      <c r="A6" t="s">
        <v>17</v>
      </c>
      <c r="B6" s="8">
        <v>0</v>
      </c>
      <c r="C6" s="8">
        <v>-0.18181818181818182</v>
      </c>
      <c r="D6" s="8">
        <v>-0.27272727272727271</v>
      </c>
      <c r="E6" s="8">
        <v>-9.5238095238095233E-2</v>
      </c>
      <c r="F6" s="8"/>
      <c r="G6" s="8">
        <v>-0.13333333333333333</v>
      </c>
      <c r="H6" s="8">
        <v>-0.15384615384615385</v>
      </c>
    </row>
    <row r="7" spans="1:8" x14ac:dyDescent="0.25">
      <c r="A7" t="s">
        <v>1</v>
      </c>
      <c r="B7" s="8">
        <v>-0.2</v>
      </c>
      <c r="C7" s="8">
        <v>7.1428571428571425E-2</v>
      </c>
      <c r="D7" s="8"/>
      <c r="E7" s="8">
        <v>0</v>
      </c>
      <c r="F7" s="8">
        <v>9.0909090909090912E-2</v>
      </c>
      <c r="G7" s="8">
        <v>-0.11764705882352941</v>
      </c>
      <c r="H7" s="8">
        <v>-0.13333333333333333</v>
      </c>
    </row>
    <row r="9" spans="1:8" x14ac:dyDescent="0.25">
      <c r="A9" s="1" t="s">
        <v>30</v>
      </c>
      <c r="B9" t="s">
        <v>47</v>
      </c>
      <c r="C9" t="s">
        <v>22</v>
      </c>
      <c r="D9" t="s">
        <v>6</v>
      </c>
      <c r="E9" t="s">
        <v>10</v>
      </c>
      <c r="F9" t="s">
        <v>8</v>
      </c>
      <c r="G9" t="s">
        <v>9</v>
      </c>
      <c r="H9" t="s">
        <v>11</v>
      </c>
    </row>
    <row r="10" spans="1:8" x14ac:dyDescent="0.25">
      <c r="A10" s="2" t="s">
        <v>16</v>
      </c>
      <c r="B10" s="9">
        <v>-0.28000000000000003</v>
      </c>
      <c r="C10" s="9">
        <v>-0.15384615384615385</v>
      </c>
      <c r="D10" s="9">
        <v>0.05</v>
      </c>
      <c r="E10" s="9" t="s">
        <v>60</v>
      </c>
      <c r="F10" s="9">
        <v>-0.11764705882352941</v>
      </c>
      <c r="G10" s="9">
        <v>-0.40909090909090912</v>
      </c>
      <c r="H10" s="9">
        <v>0</v>
      </c>
    </row>
    <row r="11" spans="1:8" x14ac:dyDescent="0.25">
      <c r="A11" s="2" t="s">
        <v>3</v>
      </c>
      <c r="B11" s="9">
        <v>0</v>
      </c>
      <c r="C11" s="9">
        <v>0</v>
      </c>
      <c r="D11" s="9">
        <v>0.11764705882352941</v>
      </c>
      <c r="E11" s="9" t="s">
        <v>60</v>
      </c>
      <c r="F11" s="9">
        <v>-5.5555555555555552E-2</v>
      </c>
      <c r="G11" s="9">
        <v>-0.4642857142857143</v>
      </c>
      <c r="H11" s="9">
        <v>0.27272727272727271</v>
      </c>
    </row>
    <row r="12" spans="1:8" x14ac:dyDescent="0.25">
      <c r="A12" s="2" t="s">
        <v>40</v>
      </c>
      <c r="B12" s="9">
        <v>-0.05</v>
      </c>
      <c r="C12" s="9">
        <v>-0.25</v>
      </c>
      <c r="D12" s="9">
        <v>0.2</v>
      </c>
      <c r="E12" s="9" t="s">
        <v>60</v>
      </c>
      <c r="F12" s="9">
        <v>-0.21052631578947367</v>
      </c>
      <c r="G12" s="9">
        <v>-0.3125</v>
      </c>
      <c r="H12" s="9">
        <v>-9.0909090909090912E-2</v>
      </c>
    </row>
    <row r="13" spans="1:8" x14ac:dyDescent="0.25">
      <c r="A13" s="2" t="s">
        <v>39</v>
      </c>
      <c r="B13" s="9">
        <v>4.7619047619047616E-2</v>
      </c>
      <c r="C13" s="9">
        <v>-0.2857142857142857</v>
      </c>
      <c r="D13" s="9">
        <v>-5.2631578947368418E-2</v>
      </c>
      <c r="E13" s="9" t="s">
        <v>60</v>
      </c>
      <c r="F13" s="9">
        <v>-0.25</v>
      </c>
      <c r="G13" s="9">
        <v>-0.3125</v>
      </c>
      <c r="H13" s="9">
        <v>-0.38461538461538464</v>
      </c>
    </row>
    <row r="14" spans="1:8" x14ac:dyDescent="0.25">
      <c r="A14" s="2" t="s">
        <v>17</v>
      </c>
      <c r="B14" s="9">
        <v>0</v>
      </c>
      <c r="C14" s="9">
        <v>-0.27272727272727271</v>
      </c>
      <c r="D14" s="9">
        <v>-9.5238095238095233E-2</v>
      </c>
      <c r="E14" s="9" t="s">
        <v>60</v>
      </c>
      <c r="F14" s="9">
        <v>-0.13333333333333333</v>
      </c>
      <c r="G14" s="9">
        <v>-0.15384615384615385</v>
      </c>
      <c r="H14" s="9">
        <v>-0.18181818181818182</v>
      </c>
    </row>
    <row r="15" spans="1:8" x14ac:dyDescent="0.25">
      <c r="A15" s="2" t="s">
        <v>1</v>
      </c>
      <c r="B15" s="9">
        <v>-0.2</v>
      </c>
      <c r="C15" s="9" t="s">
        <v>60</v>
      </c>
      <c r="D15" s="9">
        <v>0</v>
      </c>
      <c r="E15" s="9">
        <v>9.0909090909090912E-2</v>
      </c>
      <c r="F15" s="9">
        <v>-0.11764705882352941</v>
      </c>
      <c r="G15" s="9">
        <v>-0.13333333333333333</v>
      </c>
      <c r="H15" s="9">
        <v>7.1428571428571425E-2</v>
      </c>
    </row>
  </sheetData>
  <sheetProtection algorithmName="SHA-512" hashValue="ELgcg3fB/O6V8GQNZi+nWP6sjomCfJ5rBM8Wb168wekpPxK6buGAz/dVUNOeEHa5lQQifhdtFH1+0JCYIGfdrA==" saltValue="cwA7I4pEEzRMNDIpxk519Q=="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31E0-97D9-418B-A476-CD6A8422AD8E}">
  <dimension ref="A1:T11"/>
  <sheetViews>
    <sheetView workbookViewId="0">
      <selection activeCell="D21" sqref="D21"/>
    </sheetView>
  </sheetViews>
  <sheetFormatPr defaultRowHeight="15" x14ac:dyDescent="0.25"/>
  <sheetData>
    <row r="1" spans="1:20" x14ac:dyDescent="0.25">
      <c r="A1" t="s">
        <v>30</v>
      </c>
      <c r="B1" t="s">
        <v>36</v>
      </c>
      <c r="C1" t="s">
        <v>37</v>
      </c>
      <c r="D1" t="s">
        <v>38</v>
      </c>
      <c r="E1" t="s">
        <v>23</v>
      </c>
      <c r="F1" t="s">
        <v>16</v>
      </c>
      <c r="G1" t="s">
        <v>3</v>
      </c>
      <c r="H1" t="s">
        <v>40</v>
      </c>
      <c r="I1" t="s">
        <v>39</v>
      </c>
      <c r="J1" t="s">
        <v>17</v>
      </c>
      <c r="K1" t="s">
        <v>1</v>
      </c>
      <c r="M1" t="s">
        <v>30</v>
      </c>
      <c r="N1" t="s">
        <v>6</v>
      </c>
      <c r="O1" t="s">
        <v>7</v>
      </c>
      <c r="P1" t="s">
        <v>8</v>
      </c>
      <c r="Q1" t="s">
        <v>9</v>
      </c>
      <c r="R1" t="s">
        <v>10</v>
      </c>
      <c r="S1" t="s">
        <v>22</v>
      </c>
      <c r="T1" t="s">
        <v>11</v>
      </c>
    </row>
    <row r="2" spans="1:20" x14ac:dyDescent="0.25">
      <c r="A2" t="s">
        <v>6</v>
      </c>
      <c r="B2" s="5">
        <f>(Shipments!B2/SUM(Shipments!$B$2:$H$2))*100%</f>
        <v>0.18518518518518517</v>
      </c>
      <c r="C2" s="5">
        <f>(Shipments!B3/SUM(Shipments!$B$3:$H$3))*100%</f>
        <v>0.16037735849056603</v>
      </c>
      <c r="D2" s="5">
        <f>(Shipments!B4/SUM(Shipments!$B$4:$H$4))*100%</f>
        <v>0.16129032258064516</v>
      </c>
      <c r="E2" s="5">
        <f>(Shipments!B5/SUM(Shipments!$B$5:$H$5))*100%</f>
        <v>0.18446601941747573</v>
      </c>
      <c r="F2" s="5">
        <f>(Shipments!B6/SUM(Shipments!$B$6:$H$6))*100%</f>
        <v>0.23595505617977527</v>
      </c>
      <c r="G2" s="5">
        <f>(Shipments!B7/SUM(Shipments!$B$7:$H$7))*100%</f>
        <v>0.17592592592592593</v>
      </c>
      <c r="H2" s="5">
        <f>(Shipments!B8/SUM(Shipments!$B$8:$H$8))*100%</f>
        <v>0.21951219512195122</v>
      </c>
      <c r="I2" s="5">
        <f>(Shipments!B9/SUM(Shipments!$B$9:$H$9))*100%</f>
        <v>0.21428571428571427</v>
      </c>
      <c r="J2" s="5">
        <f>(Shipments!B10/SUM(Shipments!$B$10:$H$10))*100%</f>
        <v>0.24358974358974358</v>
      </c>
      <c r="K2" s="5">
        <f>(Shipments!B11/SUM(Shipments!B11:H11))*100%</f>
        <v>0.21111111111111111</v>
      </c>
      <c r="M2" t="s">
        <v>36</v>
      </c>
      <c r="N2" s="5">
        <f>(Shipments!B2/SUM(Shipments!$B$2:$H$2))*100%</f>
        <v>0.18518518518518517</v>
      </c>
      <c r="O2" s="5">
        <f>(Shipments!C2/SUM(Shipments!$B$2:$H$2))*100%</f>
        <v>0.23148148148148148</v>
      </c>
      <c r="P2" s="5">
        <f>(Shipments!D2/SUM(Shipments!$B$2:$H$2))*100%</f>
        <v>0.15740740740740741</v>
      </c>
      <c r="Q2" s="5">
        <f>(Shipments!E2/SUM(Shipments!$B$2:$H$2))*100%</f>
        <v>0.20370370370370369</v>
      </c>
      <c r="R2" s="5"/>
      <c r="S2" s="5">
        <f>(Shipments!G2/SUM(Shipments!$B$2:$H$2))*100%</f>
        <v>0.12037037037037036</v>
      </c>
      <c r="T2" s="5">
        <f>(Shipments!H2/SUM(Shipments!$B$2:$H$2))*100%</f>
        <v>0.10185185185185185</v>
      </c>
    </row>
    <row r="3" spans="1:20" x14ac:dyDescent="0.25">
      <c r="A3" t="s">
        <v>7</v>
      </c>
      <c r="B3" s="5">
        <f>(Shipments!C2/SUM(Shipments!$B$2:$H$2))*100%</f>
        <v>0.23148148148148148</v>
      </c>
      <c r="C3" s="5">
        <f>(Shipments!C3/SUM(Shipments!$B$3:$H$3))*100%</f>
        <v>0.18867924528301888</v>
      </c>
      <c r="D3" s="5">
        <f>(Shipments!C4/SUM(Shipments!$B$4:$H$4))*100%</f>
        <v>0.21505376344086022</v>
      </c>
      <c r="E3" s="5">
        <f>(Shipments!C5/SUM(Shipments!$B$5:$H$5))*100%</f>
        <v>0.20388349514563106</v>
      </c>
      <c r="F3" s="5">
        <f>(Shipments!C6/SUM(Shipments!$B$6:$H$6))*100%</f>
        <v>0.20224719101123595</v>
      </c>
      <c r="G3" s="5">
        <f>(Shipments!C7/SUM(Shipments!$B$7:$H$7))*100%</f>
        <v>0.18518518518518517</v>
      </c>
      <c r="H3" s="5">
        <f>(Shipments!C8/SUM(Shipments!$B$8:$H$8))*100%</f>
        <v>0.23170731707317074</v>
      </c>
      <c r="I3" s="5">
        <f>(Shipments!C9/SUM(Shipments!$B$9:$H$9))*100%</f>
        <v>0.26190476190476192</v>
      </c>
      <c r="J3" s="5">
        <f>(Shipments!C10/SUM(Shipments!$B$10:$H$10))*100%</f>
        <v>0.23076923076923078</v>
      </c>
      <c r="K3" s="5">
        <f>(Shipments!C11/SUM(Shipments!$B$11:$H$11))*100%</f>
        <v>0.17777777777777778</v>
      </c>
      <c r="M3" t="s">
        <v>37</v>
      </c>
      <c r="N3" s="5">
        <f>(Shipments!B3/SUM(Shipments!$B$3:$H$3))*100%</f>
        <v>0.16037735849056603</v>
      </c>
      <c r="O3" s="5">
        <f>(Shipments!C3/SUM(Shipments!$B$3:$H$3))*100%</f>
        <v>0.18867924528301888</v>
      </c>
      <c r="P3" s="5">
        <f>(Shipments!D3/SUM(Shipments!$B$3:$H$3))*100%</f>
        <v>0.16981132075471697</v>
      </c>
      <c r="Q3" s="5">
        <f>(Shipments!E3/SUM(Shipments!$B$3:$H$3))*100%</f>
        <v>0.26415094339622641</v>
      </c>
      <c r="R3" s="5"/>
      <c r="S3" s="5">
        <f>(Shipments!G3/SUM(Shipments!$B$3:$H$3))*100%</f>
        <v>0.11320754716981132</v>
      </c>
      <c r="T3" s="5">
        <f>(Shipments!H3/SUM(Shipments!$B$3:$H$3))*100%</f>
        <v>0.10377358490566038</v>
      </c>
    </row>
    <row r="4" spans="1:20" x14ac:dyDescent="0.25">
      <c r="A4" t="s">
        <v>8</v>
      </c>
      <c r="B4" s="5">
        <f>(Shipments!D2/SUM(Shipments!$B$2:$H$2))*100%</f>
        <v>0.15740740740740741</v>
      </c>
      <c r="C4" s="5">
        <f>(Shipments!D3/SUM(Shipments!$B$3:$H$3))*100%</f>
        <v>0.16981132075471697</v>
      </c>
      <c r="D4" s="5">
        <f>(Shipments!D4/SUM(Shipments!$B$4:$H$4))*100%</f>
        <v>0.20430107526881722</v>
      </c>
      <c r="E4" s="5">
        <f>(Shipments!D5/SUM(Shipments!$B$5:$H$5))*100%</f>
        <v>0.1941747572815534</v>
      </c>
      <c r="F4" s="5">
        <f>(Shipments!D6/SUM(Shipments!$B$6:$H$6))*100%</f>
        <v>0.16853932584269662</v>
      </c>
      <c r="G4" s="5">
        <f>(Shipments!D7/SUM(Shipments!$B$7:$H$7))*100%</f>
        <v>0.15740740740740741</v>
      </c>
      <c r="H4" s="5">
        <f>(Shipments!D8/SUM(Shipments!$B$8:$H$8))*100%</f>
        <v>0.18292682926829268</v>
      </c>
      <c r="I4" s="5">
        <f>(Shipments!D9/SUM(Shipments!$B$9:$H$9))*100%</f>
        <v>0.17857142857142858</v>
      </c>
      <c r="J4" s="5">
        <f>(Shipments!D10/SUM(Shipments!$B$10:$H$10))*100%</f>
        <v>0.16666666666666666</v>
      </c>
      <c r="K4" s="5">
        <f>(Shipments!D11/SUM(Shipments!$B$11:$H$11))*100%</f>
        <v>0.16666666666666666</v>
      </c>
      <c r="M4" t="s">
        <v>38</v>
      </c>
      <c r="N4" s="5">
        <f>(Shipments!B4/SUM(Shipments!$B$4:$H$4))*100%</f>
        <v>0.16129032258064516</v>
      </c>
      <c r="O4" s="5">
        <f>(Shipments!C4/SUM(Shipments!$B$4:$H$4))*100%</f>
        <v>0.21505376344086022</v>
      </c>
      <c r="P4" s="5">
        <f>(Shipments!D4/SUM(Shipments!$B$4:$H$4))*100%</f>
        <v>0.20430107526881722</v>
      </c>
      <c r="Q4" s="5">
        <f>(Shipments!E4/SUM(Shipments!$B$4:$H$4))*100%</f>
        <v>0.17204301075268819</v>
      </c>
      <c r="R4" s="5"/>
      <c r="S4" s="5">
        <f>(Shipments!G4/SUM(Shipments!$B$4:$H$4))*100%</f>
        <v>0.12903225806451613</v>
      </c>
      <c r="T4" s="5">
        <f>(Shipments!H4/SUM(Shipments!$B$4:$H$4))*100%</f>
        <v>0.11827956989247312</v>
      </c>
    </row>
    <row r="5" spans="1:20" x14ac:dyDescent="0.25">
      <c r="A5" t="s">
        <v>9</v>
      </c>
      <c r="B5" s="5">
        <f>(Shipments!E2/SUM(Shipments!$B$2:$H$2))*100%</f>
        <v>0.20370370370370369</v>
      </c>
      <c r="C5" s="5">
        <f>(Shipments!E3/SUM(Shipments!$B$3:$H$3))*100%</f>
        <v>0.26415094339622641</v>
      </c>
      <c r="D5" s="5">
        <f>(Shipments!E4/SUM(Shipments!$B$4:$H$4))*100%</f>
        <v>0.17204301075268819</v>
      </c>
      <c r="E5" s="5">
        <f>(Shipments!E5/SUM(Shipments!$B$5:$H$5))*100%</f>
        <v>0.1553398058252427</v>
      </c>
      <c r="F5" s="5">
        <f>(Shipments!E6/SUM(Shipments!$B$6:$H$6))*100%</f>
        <v>0.14606741573033707</v>
      </c>
      <c r="G5" s="5">
        <f>(Shipments!E7/SUM(Shipments!$B$7:$H$7))*100%</f>
        <v>0.1388888888888889</v>
      </c>
      <c r="H5" s="5">
        <f>(Shipments!E8/SUM(Shipments!$B$8:$H$8))*100%</f>
        <v>0.13414634146341464</v>
      </c>
      <c r="I5" s="5">
        <f>(Shipments!E9/SUM(Shipments!$B$9:$H$9))*100%</f>
        <v>0.13095238095238096</v>
      </c>
      <c r="J5" s="5">
        <f>(Shipments!E10/SUM(Shipments!$B$10:$H$10))*100%</f>
        <v>0.14102564102564102</v>
      </c>
      <c r="K5" s="5">
        <f>(Shipments!E11/SUM(Shipments!$B$11:$H$11))*100%</f>
        <v>0.14444444444444443</v>
      </c>
      <c r="M5" t="s">
        <v>23</v>
      </c>
      <c r="N5" s="5">
        <f>(Shipments!B5/SUM(Shipments!$B$5:$H$5))*100%</f>
        <v>0.18446601941747573</v>
      </c>
      <c r="O5" s="5">
        <f>(Shipments!C5/SUM(Shipments!$B$5:$H$5))*100%</f>
        <v>0.20388349514563106</v>
      </c>
      <c r="P5" s="5">
        <f>(Shipments!D5/SUM(Shipments!$B$5:$H$5))*100%</f>
        <v>0.1941747572815534</v>
      </c>
      <c r="Q5" s="5">
        <f>(Shipments!E5/SUM(Shipments!$B$5:$H$5))*100%</f>
        <v>0.1553398058252427</v>
      </c>
      <c r="R5" s="5"/>
      <c r="S5" s="5">
        <f>(Shipments!G5/SUM(Shipments!$B$5:$H$5))*100%</f>
        <v>0.13592233009708737</v>
      </c>
      <c r="T5" s="5">
        <f>(Shipments!H5/SUM(Shipments!$B$5:$H$5))*100%</f>
        <v>0.12621359223300971</v>
      </c>
    </row>
    <row r="6" spans="1:20" x14ac:dyDescent="0.25">
      <c r="A6" t="s">
        <v>10</v>
      </c>
      <c r="B6" s="5"/>
      <c r="C6" s="5"/>
      <c r="D6" s="5"/>
      <c r="E6" s="5"/>
      <c r="F6" s="5"/>
      <c r="G6" s="5">
        <f>(Shipments!F7/SUM(Shipments!$B$7:$H$7))*100%</f>
        <v>0.10185185185185185</v>
      </c>
      <c r="H6" s="5"/>
      <c r="I6" s="5"/>
      <c r="J6" s="5"/>
      <c r="K6" s="5">
        <f>(Shipments!F11/SUM(Shipments!$B$11:$H$11))*100%</f>
        <v>0.13333333333333333</v>
      </c>
      <c r="M6" t="s">
        <v>16</v>
      </c>
      <c r="N6" s="5">
        <f>(Shipments!B6/SUM(Shipments!$B$6:$H$6))*100%</f>
        <v>0.23595505617977527</v>
      </c>
      <c r="O6" s="5">
        <f>(Shipments!C6/SUM(Shipments!$B$6:$H$6))*100%</f>
        <v>0.20224719101123595</v>
      </c>
      <c r="P6" s="5">
        <f>(Shipments!D6/SUM(Shipments!$B$6:$H$6))*100%</f>
        <v>0.16853932584269662</v>
      </c>
      <c r="Q6" s="5">
        <f>(Shipments!E6/SUM(Shipments!$B$6:$H$6))*100%</f>
        <v>0.14606741573033707</v>
      </c>
      <c r="R6" s="5"/>
      <c r="S6" s="5">
        <f>(Shipments!G6/SUM(Shipments!$B$6:$H$6))*100%</f>
        <v>0.12359550561797752</v>
      </c>
      <c r="T6" s="5">
        <f>(Shipments!H6/SUM(Shipments!$B$6:$H$6))*100%</f>
        <v>0.12359550561797752</v>
      </c>
    </row>
    <row r="7" spans="1:20" x14ac:dyDescent="0.25">
      <c r="A7" t="s">
        <v>22</v>
      </c>
      <c r="B7" s="5">
        <f>(Shipments!G2/SUM(Shipments!$B$2:$H$2))*100%</f>
        <v>0.12037037037037036</v>
      </c>
      <c r="C7" s="5">
        <f>(Shipments!G3/SUM(Shipments!$B$3:$H$3))*100%</f>
        <v>0.11320754716981132</v>
      </c>
      <c r="D7" s="5">
        <f>(Shipments!G4/SUM(Shipments!$B$4:$H$4))*100%</f>
        <v>0.12903225806451613</v>
      </c>
      <c r="E7" s="5">
        <f>(Shipments!G5/SUM(Shipments!$B$5:$H$5))*100%</f>
        <v>0.13592233009708737</v>
      </c>
      <c r="F7" s="5">
        <f>(Shipments!G6/SUM(Shipments!$B$6:$H$6))*100%</f>
        <v>0.12359550561797752</v>
      </c>
      <c r="G7" s="5">
        <f>(Shipments!G7/SUM(Shipments!$B$7:$H$7))*100%</f>
        <v>0.1111111111111111</v>
      </c>
      <c r="H7" s="5">
        <f>(Shipments!G8/SUM(Shipments!$B$8:$H$8))*100%</f>
        <v>0.10975609756097561</v>
      </c>
      <c r="I7" s="5">
        <f>(Shipments!G9/SUM(Shipments!$B$9:$H$9))*100%</f>
        <v>0.11904761904761904</v>
      </c>
      <c r="J7" s="5">
        <f>(Shipments!G10/SUM(Shipments!$B$10:$H$10))*100%</f>
        <v>0.10256410256410256</v>
      </c>
      <c r="K7" s="5"/>
      <c r="M7" t="s">
        <v>3</v>
      </c>
      <c r="N7" s="5">
        <f>(Shipments!B7/SUM(Shipments!$B$7:$H$7))*100%</f>
        <v>0.17592592592592593</v>
      </c>
      <c r="O7" s="5">
        <f>(Shipments!C7/SUM(Shipments!$B$7:$H$7))*100%</f>
        <v>0.18518518518518517</v>
      </c>
      <c r="P7" s="5">
        <f>(Shipments!D7/SUM(Shipments!$B$7:$H$7))*100%</f>
        <v>0.15740740740740741</v>
      </c>
      <c r="Q7" s="5">
        <f>(Shipments!E7/SUM(Shipments!$B$7:$H$7))*100%</f>
        <v>0.1388888888888889</v>
      </c>
      <c r="R7" s="5">
        <f>(Shipments!F7/SUM(Shipments!$B$7:$H$7))*100%</f>
        <v>0.10185185185185185</v>
      </c>
      <c r="S7" s="5">
        <f>(Shipments!G7/SUM(Shipments!$B$7:$H$7))*100%</f>
        <v>0.1111111111111111</v>
      </c>
      <c r="T7" s="5">
        <f>(Shipments!H7/SUM(Shipments!$B$7:$H$7))*100%</f>
        <v>0.12962962962962962</v>
      </c>
    </row>
    <row r="8" spans="1:20" x14ac:dyDescent="0.25">
      <c r="A8" t="s">
        <v>11</v>
      </c>
      <c r="B8" s="5">
        <f>(Shipments!H2/SUM(Shipments!$B$2:$H$2))*100%</f>
        <v>0.10185185185185185</v>
      </c>
      <c r="C8" s="5">
        <f>(Shipments!H3/SUM(Shipments!$B$3:$H$3))*100%</f>
        <v>0.10377358490566038</v>
      </c>
      <c r="D8" s="5">
        <f>(Shipments!H4/SUM(Shipments!$B$4:$H$4))*100%</f>
        <v>0.11827956989247312</v>
      </c>
      <c r="E8" s="5">
        <f>(Shipments!H5/SUM(Shipments!$B$5:$H$5))*100%</f>
        <v>0.12621359223300971</v>
      </c>
      <c r="F8" s="5">
        <f>(Shipments!H6/SUM(Shipments!$B$6:$H$6))*100%</f>
        <v>0.12359550561797752</v>
      </c>
      <c r="G8" s="5">
        <f>(Shipments!H7/SUM(Shipments!$B$7:$H$7))*100%</f>
        <v>0.12962962962962962</v>
      </c>
      <c r="H8" s="5">
        <f>(Shipments!H8/SUM(Shipments!$B$8:$H$8))*100%</f>
        <v>0.12195121951219512</v>
      </c>
      <c r="I8" s="5">
        <f>(Shipments!H9/SUM(Shipments!$B$9:$H$9))*100%</f>
        <v>9.5238095238095233E-2</v>
      </c>
      <c r="J8" s="5">
        <f>(Shipments!H10/SUM(Shipments!$B$10:$H$10))*100%</f>
        <v>0.11538461538461539</v>
      </c>
      <c r="K8" s="5">
        <f>(Shipments!H11/SUM(Shipments!$B$11:$H$11))*100%</f>
        <v>0.16666666666666666</v>
      </c>
      <c r="M8" t="s">
        <v>40</v>
      </c>
      <c r="N8" s="5">
        <f>(Shipments!B8/SUM(Shipments!$B$8:$H$8))*100%</f>
        <v>0.21951219512195122</v>
      </c>
      <c r="O8" s="5">
        <f>(Shipments!C8/SUM(Shipments!$B$8:$H$8))*100%</f>
        <v>0.23170731707317074</v>
      </c>
      <c r="P8" s="5">
        <f>(Shipments!D8/SUM(Shipments!$B$8:$H$8))*100%</f>
        <v>0.18292682926829268</v>
      </c>
      <c r="Q8" s="5">
        <f>(Shipments!E8/SUM(Shipments!$B$8:$H$8))*100%</f>
        <v>0.13414634146341464</v>
      </c>
      <c r="R8" s="5"/>
      <c r="S8" s="5">
        <f>(Shipments!G8/SUM(Shipments!$B$8:$H$8))*100%</f>
        <v>0.10975609756097561</v>
      </c>
      <c r="T8" s="5">
        <f>(Shipments!H8/SUM(Shipments!$B$8:$H$8))*100%</f>
        <v>0.12195121951219512</v>
      </c>
    </row>
    <row r="9" spans="1:20" x14ac:dyDescent="0.25">
      <c r="F9" s="5"/>
      <c r="M9" t="s">
        <v>39</v>
      </c>
      <c r="N9" s="5">
        <f>(Shipments!B9/SUM(Shipments!$B$9:$H$9))*100%</f>
        <v>0.21428571428571427</v>
      </c>
      <c r="O9" s="5">
        <f>(Shipments!C9/SUM(Shipments!$B$9:$H$9))*100%</f>
        <v>0.26190476190476192</v>
      </c>
      <c r="P9" s="5">
        <f>(Shipments!D9/SUM(Shipments!$B$9:$H$9))*100%</f>
        <v>0.17857142857142858</v>
      </c>
      <c r="Q9" s="5">
        <f>(Shipments!E9/SUM(Shipments!$B$9:$H$9))*100%</f>
        <v>0.13095238095238096</v>
      </c>
      <c r="R9" s="5"/>
      <c r="S9" s="5">
        <f>(Shipments!G9/SUM(Shipments!$B$9:$H$9))*100%</f>
        <v>0.11904761904761904</v>
      </c>
      <c r="T9" s="5">
        <f>(Shipments!H9/SUM(Shipments!$B$9:$H$9))*100%</f>
        <v>9.5238095238095233E-2</v>
      </c>
    </row>
    <row r="10" spans="1:20" x14ac:dyDescent="0.25">
      <c r="M10" t="s">
        <v>17</v>
      </c>
      <c r="N10" s="5">
        <f>(Shipments!B10/SUM(Shipments!$B$10:$H$10))*100%</f>
        <v>0.24358974358974358</v>
      </c>
      <c r="O10" s="5">
        <f>(Shipments!C10/SUM(Shipments!$B$10:$H$10))*100%</f>
        <v>0.23076923076923078</v>
      </c>
      <c r="P10" s="5">
        <f>(Shipments!D10/SUM(Shipments!$B$10:$H$10))*100%</f>
        <v>0.16666666666666666</v>
      </c>
      <c r="Q10" s="5">
        <f>(Shipments!E10/SUM(Shipments!$B$10:$H$10))*100%</f>
        <v>0.14102564102564102</v>
      </c>
      <c r="R10" s="5"/>
      <c r="S10" s="5">
        <f>(Shipments!G10/SUM(Shipments!$B$10:$H$10))*100%</f>
        <v>0.10256410256410256</v>
      </c>
      <c r="T10" s="5">
        <f>(Shipments!H10/SUM(Shipments!$B$10:$H$10))*100%</f>
        <v>0.11538461538461539</v>
      </c>
    </row>
    <row r="11" spans="1:20" x14ac:dyDescent="0.25">
      <c r="M11" t="s">
        <v>1</v>
      </c>
      <c r="N11" s="5">
        <f>(Shipments!B11/SUM(Shipments!$B$11:$H$11))*100%</f>
        <v>0.21111111111111111</v>
      </c>
      <c r="O11" s="5">
        <f>(Shipments!C11/SUM(Shipments!$B$11:$H$11))*100%</f>
        <v>0.17777777777777778</v>
      </c>
      <c r="P11" s="5">
        <f>(Shipments!D11/SUM(Shipments!$B$11:$H$11))*100%</f>
        <v>0.16666666666666666</v>
      </c>
      <c r="Q11" s="5">
        <f>(Shipments!E11/SUM(Shipments!$B$11:$H$11))*100%</f>
        <v>0.14444444444444443</v>
      </c>
      <c r="R11" s="5">
        <f>(Shipments!F11/SUM(Shipments!$B$11:$H$11))*100%</f>
        <v>0.13333333333333333</v>
      </c>
      <c r="S11" s="5"/>
      <c r="T11" s="5">
        <f>(Shipments!H11/SUM(Shipments!$B$11:$H$11))*100%</f>
        <v>0.16666666666666666</v>
      </c>
    </row>
  </sheetData>
  <sheetProtection algorithmName="SHA-512" hashValue="kcThI3Hxnhi9jzDBBsqVvIf7VygMdap4OlLNTFoQJ7aD4/7hRcxBzfwCxdQDIy9eav9Lulm/pxOqT/Y2/pvzNw==" saltValue="+2s1o1FRV4tbD3L2P+k0xQ=="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DD14-8E82-4E9C-B3F1-E1574DC53016}">
  <dimension ref="A1:K19"/>
  <sheetViews>
    <sheetView workbookViewId="0">
      <selection activeCell="M11" sqref="M11"/>
    </sheetView>
  </sheetViews>
  <sheetFormatPr defaultRowHeight="15" x14ac:dyDescent="0.25"/>
  <cols>
    <col min="1" max="1" width="9.85546875" bestFit="1" customWidth="1"/>
    <col min="2" max="2" width="16.28515625" bestFit="1" customWidth="1"/>
    <col min="3" max="11" width="6.140625" bestFit="1" customWidth="1"/>
  </cols>
  <sheetData>
    <row r="1" spans="1:11" x14ac:dyDescent="0.25">
      <c r="A1" s="1" t="s">
        <v>59</v>
      </c>
      <c r="B1" t="s">
        <v>49</v>
      </c>
      <c r="C1" t="s">
        <v>50</v>
      </c>
      <c r="D1" t="s">
        <v>51</v>
      </c>
      <c r="E1" t="s">
        <v>52</v>
      </c>
      <c r="F1" t="s">
        <v>53</v>
      </c>
      <c r="G1" t="s">
        <v>54</v>
      </c>
      <c r="H1" t="s">
        <v>55</v>
      </c>
      <c r="I1" t="s">
        <v>56</v>
      </c>
      <c r="J1" t="s">
        <v>57</v>
      </c>
      <c r="K1" t="s">
        <v>58</v>
      </c>
    </row>
    <row r="2" spans="1:11" x14ac:dyDescent="0.25">
      <c r="A2" s="2" t="s">
        <v>7</v>
      </c>
      <c r="B2" s="3">
        <v>0.23148148148148148</v>
      </c>
      <c r="C2" s="3">
        <v>0.18867924528301888</v>
      </c>
      <c r="D2" s="3">
        <v>0.21505376344086022</v>
      </c>
      <c r="E2" s="3">
        <v>0.20388349514563106</v>
      </c>
      <c r="F2" s="3">
        <v>0.20224719101123595</v>
      </c>
      <c r="G2" s="3">
        <v>0.18518518518518517</v>
      </c>
      <c r="H2" s="3">
        <v>0.23170731707317074</v>
      </c>
      <c r="I2" s="3">
        <v>0.26190476190476192</v>
      </c>
      <c r="J2" s="3">
        <v>0.23076923076923078</v>
      </c>
      <c r="K2" s="3">
        <v>0.17777777777777778</v>
      </c>
    </row>
    <row r="3" spans="1:11" x14ac:dyDescent="0.25">
      <c r="A3" s="2" t="s">
        <v>11</v>
      </c>
      <c r="B3" s="3">
        <v>0.10185185185185185</v>
      </c>
      <c r="C3" s="3">
        <v>0.10377358490566038</v>
      </c>
      <c r="D3" s="3">
        <v>0.11827956989247312</v>
      </c>
      <c r="E3" s="3">
        <v>0.12621359223300971</v>
      </c>
      <c r="F3" s="3">
        <v>0.12359550561797752</v>
      </c>
      <c r="G3" s="3">
        <v>0.12962962962962962</v>
      </c>
      <c r="H3" s="3">
        <v>0.12195121951219512</v>
      </c>
      <c r="I3" s="3">
        <v>9.5238095238095233E-2</v>
      </c>
      <c r="J3" s="3">
        <v>0.11538461538461539</v>
      </c>
      <c r="K3" s="3">
        <v>0.16666666666666666</v>
      </c>
    </row>
    <row r="4" spans="1:11" x14ac:dyDescent="0.25">
      <c r="A4" s="2" t="s">
        <v>22</v>
      </c>
      <c r="B4" s="3">
        <v>0.12037037037037036</v>
      </c>
      <c r="C4" s="3">
        <v>0.11320754716981132</v>
      </c>
      <c r="D4" s="3">
        <v>0.12903225806451613</v>
      </c>
      <c r="E4" s="3">
        <v>0.13592233009708737</v>
      </c>
      <c r="F4" s="3">
        <v>0.12359550561797752</v>
      </c>
      <c r="G4" s="3">
        <v>0.1111111111111111</v>
      </c>
      <c r="H4" s="3">
        <v>0.10975609756097561</v>
      </c>
      <c r="I4" s="3">
        <v>0.11904761904761904</v>
      </c>
      <c r="J4" s="3">
        <v>0.10256410256410256</v>
      </c>
      <c r="K4" s="3"/>
    </row>
    <row r="5" spans="1:11" x14ac:dyDescent="0.25">
      <c r="A5" s="2" t="s">
        <v>6</v>
      </c>
      <c r="B5" s="3">
        <v>0.18518518518518517</v>
      </c>
      <c r="C5" s="3">
        <v>0.16037735849056603</v>
      </c>
      <c r="D5" s="3">
        <v>0.16129032258064516</v>
      </c>
      <c r="E5" s="3">
        <v>0.18446601941747573</v>
      </c>
      <c r="F5" s="3">
        <v>0.23595505617977527</v>
      </c>
      <c r="G5" s="3">
        <v>0.17592592592592593</v>
      </c>
      <c r="H5" s="3">
        <v>0.21951219512195122</v>
      </c>
      <c r="I5" s="3">
        <v>0.21428571428571427</v>
      </c>
      <c r="J5" s="3">
        <v>0.24358974358974358</v>
      </c>
      <c r="K5" s="3">
        <v>0.21111111111111111</v>
      </c>
    </row>
    <row r="6" spans="1:11" x14ac:dyDescent="0.25">
      <c r="A6" s="2" t="s">
        <v>10</v>
      </c>
      <c r="B6" s="3"/>
      <c r="C6" s="3"/>
      <c r="D6" s="3"/>
      <c r="E6" s="3"/>
      <c r="F6" s="3"/>
      <c r="G6" s="3">
        <v>0.10185185185185185</v>
      </c>
      <c r="H6" s="3"/>
      <c r="I6" s="3"/>
      <c r="J6" s="3"/>
      <c r="K6" s="3">
        <v>0.13333333333333333</v>
      </c>
    </row>
    <row r="7" spans="1:11" x14ac:dyDescent="0.25">
      <c r="A7" s="2" t="s">
        <v>8</v>
      </c>
      <c r="B7" s="3">
        <v>0.15740740740740741</v>
      </c>
      <c r="C7" s="3">
        <v>0.16981132075471697</v>
      </c>
      <c r="D7" s="3">
        <v>0.20430107526881722</v>
      </c>
      <c r="E7" s="3">
        <v>0.1941747572815534</v>
      </c>
      <c r="F7" s="3">
        <v>0.16853932584269662</v>
      </c>
      <c r="G7" s="3">
        <v>0.15740740740740741</v>
      </c>
      <c r="H7" s="3">
        <v>0.18292682926829268</v>
      </c>
      <c r="I7" s="3">
        <v>0.17857142857142858</v>
      </c>
      <c r="J7" s="3">
        <v>0.16666666666666666</v>
      </c>
      <c r="K7" s="3">
        <v>0.16666666666666666</v>
      </c>
    </row>
    <row r="8" spans="1:11" x14ac:dyDescent="0.25">
      <c r="A8" s="2" t="s">
        <v>9</v>
      </c>
      <c r="B8" s="3">
        <v>0.20370370370370369</v>
      </c>
      <c r="C8" s="3">
        <v>0.26415094339622641</v>
      </c>
      <c r="D8" s="3">
        <v>0.17204301075268819</v>
      </c>
      <c r="E8" s="3">
        <v>0.1553398058252427</v>
      </c>
      <c r="F8" s="3">
        <v>0.14606741573033707</v>
      </c>
      <c r="G8" s="3">
        <v>0.1388888888888889</v>
      </c>
      <c r="H8" s="3">
        <v>0.13414634146341464</v>
      </c>
      <c r="I8" s="3">
        <v>0.13095238095238096</v>
      </c>
      <c r="J8" s="3">
        <v>0.14102564102564102</v>
      </c>
      <c r="K8" s="3">
        <v>0.14444444444444443</v>
      </c>
    </row>
    <row r="9" spans="1:11" x14ac:dyDescent="0.25">
      <c r="A9" s="2" t="s">
        <v>12</v>
      </c>
      <c r="B9" s="3">
        <v>1</v>
      </c>
      <c r="C9" s="3">
        <v>0.99999999999999989</v>
      </c>
      <c r="D9" s="3">
        <v>1</v>
      </c>
      <c r="E9" s="3">
        <v>0.99999999999999978</v>
      </c>
      <c r="F9" s="3">
        <v>0.99999999999999989</v>
      </c>
      <c r="G9" s="3">
        <v>1</v>
      </c>
      <c r="H9" s="3">
        <v>1</v>
      </c>
      <c r="I9" s="3">
        <v>1</v>
      </c>
      <c r="J9" s="3">
        <v>0.99999999999999989</v>
      </c>
      <c r="K9" s="3">
        <v>0.99999999999999989</v>
      </c>
    </row>
    <row r="11" spans="1:11" x14ac:dyDescent="0.25">
      <c r="B11" s="1" t="s">
        <v>61</v>
      </c>
    </row>
    <row r="12" spans="1:11" x14ac:dyDescent="0.25">
      <c r="A12" s="1" t="s">
        <v>62</v>
      </c>
      <c r="B12" t="s">
        <v>23</v>
      </c>
    </row>
    <row r="13" spans="1:11" x14ac:dyDescent="0.25">
      <c r="A13" s="2" t="s">
        <v>63</v>
      </c>
      <c r="B13" s="6">
        <v>0.18446601941747573</v>
      </c>
    </row>
    <row r="14" spans="1:11" x14ac:dyDescent="0.25">
      <c r="A14" s="2" t="s">
        <v>64</v>
      </c>
      <c r="B14" s="6">
        <v>0.20388349514563106</v>
      </c>
    </row>
    <row r="15" spans="1:11" x14ac:dyDescent="0.25">
      <c r="A15" s="2" t="s">
        <v>65</v>
      </c>
      <c r="B15" s="6">
        <v>0.1941747572815534</v>
      </c>
    </row>
    <row r="16" spans="1:11" x14ac:dyDescent="0.25">
      <c r="A16" s="2" t="s">
        <v>66</v>
      </c>
      <c r="B16" s="6">
        <v>0.1553398058252427</v>
      </c>
    </row>
    <row r="17" spans="1:2" x14ac:dyDescent="0.25">
      <c r="A17" s="2" t="s">
        <v>67</v>
      </c>
      <c r="B17" s="6" t="s">
        <v>60</v>
      </c>
    </row>
    <row r="18" spans="1:2" x14ac:dyDescent="0.25">
      <c r="A18" s="2" t="s">
        <v>68</v>
      </c>
      <c r="B18" s="6">
        <v>0.13592233009708737</v>
      </c>
    </row>
    <row r="19" spans="1:2" x14ac:dyDescent="0.25">
      <c r="A19" s="2" t="s">
        <v>69</v>
      </c>
      <c r="B19" s="6">
        <v>0.12621359223300971</v>
      </c>
    </row>
  </sheetData>
  <sheetProtection algorithmName="SHA-512" hashValue="QOz0okeXKveebjmF+6p52rrkMq4SNasL41uTJGvpbAEBZZDCaRjJ4zJJVpzVEdmASctyS2eJuZ7oEeYqi32X3g==" saltValue="ClCWSdm/WBNjoC3daIE5ZA=="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2FF4-06C9-4604-B116-0C5C1B5950EA}">
  <dimension ref="A3:H14"/>
  <sheetViews>
    <sheetView workbookViewId="0">
      <selection activeCell="R7" sqref="R7"/>
    </sheetView>
  </sheetViews>
  <sheetFormatPr defaultRowHeight="15" x14ac:dyDescent="0.25"/>
  <cols>
    <col min="1" max="1" width="11.28515625" bestFit="1" customWidth="1"/>
    <col min="2" max="2" width="9.28515625" bestFit="1" customWidth="1"/>
    <col min="3" max="5" width="9" bestFit="1" customWidth="1"/>
    <col min="6" max="6" width="9.85546875" bestFit="1" customWidth="1"/>
    <col min="7" max="8" width="9" bestFit="1" customWidth="1"/>
  </cols>
  <sheetData>
    <row r="3" spans="1:8" x14ac:dyDescent="0.25">
      <c r="A3" s="1" t="s">
        <v>30</v>
      </c>
      <c r="B3" t="s">
        <v>48</v>
      </c>
      <c r="C3" t="s">
        <v>47</v>
      </c>
      <c r="D3" t="s">
        <v>46</v>
      </c>
      <c r="E3" t="s">
        <v>45</v>
      </c>
      <c r="F3" t="s">
        <v>44</v>
      </c>
      <c r="G3" t="s">
        <v>43</v>
      </c>
      <c r="H3" t="s">
        <v>42</v>
      </c>
    </row>
    <row r="4" spans="1:8" x14ac:dyDescent="0.25">
      <c r="A4" s="2" t="s">
        <v>36</v>
      </c>
      <c r="B4">
        <v>2000000</v>
      </c>
      <c r="C4">
        <v>2500000</v>
      </c>
      <c r="D4">
        <v>1700000</v>
      </c>
      <c r="E4">
        <v>2200000</v>
      </c>
      <c r="F4" t="s">
        <v>41</v>
      </c>
      <c r="G4">
        <v>1300000</v>
      </c>
      <c r="H4">
        <v>1100000</v>
      </c>
    </row>
    <row r="5" spans="1:8" x14ac:dyDescent="0.25">
      <c r="A5" s="2" t="s">
        <v>37</v>
      </c>
      <c r="B5">
        <v>1700000</v>
      </c>
      <c r="C5">
        <v>2000000</v>
      </c>
      <c r="D5">
        <v>1800000</v>
      </c>
      <c r="E5">
        <v>2800000</v>
      </c>
      <c r="F5" t="s">
        <v>41</v>
      </c>
      <c r="G5">
        <v>1200000</v>
      </c>
      <c r="H5">
        <v>1100000</v>
      </c>
    </row>
    <row r="6" spans="1:8" x14ac:dyDescent="0.25">
      <c r="A6" s="2" t="s">
        <v>38</v>
      </c>
      <c r="B6">
        <v>1500000</v>
      </c>
      <c r="C6">
        <v>2000000</v>
      </c>
      <c r="D6">
        <v>1900000</v>
      </c>
      <c r="E6">
        <v>1600000</v>
      </c>
      <c r="F6" t="s">
        <v>41</v>
      </c>
      <c r="G6">
        <v>1200000</v>
      </c>
      <c r="H6">
        <v>1100000</v>
      </c>
    </row>
    <row r="7" spans="1:8" x14ac:dyDescent="0.25">
      <c r="A7" s="2" t="s">
        <v>23</v>
      </c>
      <c r="B7">
        <v>1900000</v>
      </c>
      <c r="C7">
        <v>2100000</v>
      </c>
      <c r="D7">
        <v>2000000</v>
      </c>
      <c r="E7">
        <v>1600000</v>
      </c>
      <c r="F7" t="s">
        <v>41</v>
      </c>
      <c r="G7">
        <v>1400000</v>
      </c>
      <c r="H7">
        <v>1300000</v>
      </c>
    </row>
    <row r="8" spans="1:8" x14ac:dyDescent="0.25">
      <c r="A8" s="2" t="s">
        <v>16</v>
      </c>
      <c r="B8">
        <v>2100000</v>
      </c>
      <c r="C8">
        <v>1800000</v>
      </c>
      <c r="D8">
        <v>1500000</v>
      </c>
      <c r="E8">
        <v>1300000</v>
      </c>
      <c r="F8" t="s">
        <v>41</v>
      </c>
      <c r="G8">
        <v>1100000</v>
      </c>
      <c r="H8">
        <v>1100000</v>
      </c>
    </row>
    <row r="9" spans="1:8" x14ac:dyDescent="0.25">
      <c r="A9" s="2" t="s">
        <v>3</v>
      </c>
      <c r="B9">
        <v>1900000</v>
      </c>
      <c r="C9">
        <v>2000000</v>
      </c>
      <c r="D9">
        <v>1700000</v>
      </c>
      <c r="E9">
        <v>1500000</v>
      </c>
      <c r="F9">
        <v>1100000</v>
      </c>
      <c r="G9">
        <v>1200000</v>
      </c>
      <c r="H9">
        <v>1400000</v>
      </c>
    </row>
    <row r="10" spans="1:8" x14ac:dyDescent="0.25">
      <c r="A10" s="2" t="s">
        <v>40</v>
      </c>
      <c r="B10">
        <v>1800000</v>
      </c>
      <c r="C10">
        <v>1900000</v>
      </c>
      <c r="D10">
        <v>1500000</v>
      </c>
      <c r="E10">
        <v>1100000</v>
      </c>
      <c r="F10" t="s">
        <v>41</v>
      </c>
      <c r="G10">
        <v>900000</v>
      </c>
      <c r="H10">
        <v>1000000</v>
      </c>
    </row>
    <row r="11" spans="1:8" x14ac:dyDescent="0.25">
      <c r="A11" s="2" t="s">
        <v>39</v>
      </c>
      <c r="B11">
        <v>1800000</v>
      </c>
      <c r="C11">
        <v>2200000</v>
      </c>
      <c r="D11">
        <v>1500000</v>
      </c>
      <c r="E11">
        <v>1100000</v>
      </c>
      <c r="F11" t="s">
        <v>41</v>
      </c>
      <c r="G11">
        <v>1000000</v>
      </c>
      <c r="H11">
        <v>800000</v>
      </c>
    </row>
    <row r="12" spans="1:8" x14ac:dyDescent="0.25">
      <c r="A12" s="2" t="s">
        <v>17</v>
      </c>
      <c r="B12">
        <v>1900000</v>
      </c>
      <c r="C12">
        <v>1800000</v>
      </c>
      <c r="D12">
        <v>1300000</v>
      </c>
      <c r="E12">
        <v>1100000</v>
      </c>
      <c r="F12" t="s">
        <v>41</v>
      </c>
      <c r="G12">
        <v>800000</v>
      </c>
      <c r="H12">
        <v>900000</v>
      </c>
    </row>
    <row r="13" spans="1:8" x14ac:dyDescent="0.25">
      <c r="A13" s="2" t="s">
        <v>1</v>
      </c>
      <c r="B13">
        <v>1900000</v>
      </c>
      <c r="C13">
        <v>1600000</v>
      </c>
      <c r="D13">
        <v>1500000</v>
      </c>
      <c r="E13">
        <v>1300000</v>
      </c>
      <c r="F13">
        <v>1200000</v>
      </c>
      <c r="G13" t="s">
        <v>41</v>
      </c>
      <c r="H13">
        <v>1500000</v>
      </c>
    </row>
    <row r="14" spans="1:8" x14ac:dyDescent="0.25">
      <c r="A14" s="2" t="s">
        <v>12</v>
      </c>
      <c r="B14">
        <v>18500000</v>
      </c>
      <c r="C14">
        <v>19900000</v>
      </c>
      <c r="D14">
        <v>16400000</v>
      </c>
      <c r="E14">
        <v>15600000</v>
      </c>
      <c r="F14">
        <v>2300000</v>
      </c>
      <c r="G14">
        <v>10100000</v>
      </c>
      <c r="H14">
        <v>11300000</v>
      </c>
    </row>
  </sheetData>
  <sheetProtection algorithmName="SHA-512" hashValue="GRip+7E0p24C6AMjyGhfvzrPxCRabwV4XPq1mvcMmy4EfF84ScUT+uR86YdyLqXSwabJS0JuwCpL8FY8t95kbQ==" saltValue="cxQ97y7iNMPrD6HunFajvA==" spinCount="100000" sheet="1" objects="1" scenarios="1"/>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D6BD-4F0F-460F-A116-3725F600A65B}">
  <dimension ref="A1:AM92"/>
  <sheetViews>
    <sheetView showGridLines="0" showRowColHeaders="0" tabSelected="1" topLeftCell="B61" zoomScale="55" zoomScaleNormal="55" workbookViewId="0">
      <selection sqref="A1:XFD1048576"/>
    </sheetView>
  </sheetViews>
  <sheetFormatPr defaultColWidth="0" defaultRowHeight="15" zeroHeight="1" x14ac:dyDescent="0.25"/>
  <cols>
    <col min="1" max="39" width="9.140625" style="4" customWidth="1"/>
    <col min="40" max="16384" width="9.140625" style="4"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hidden="1" x14ac:dyDescent="0.25"/>
    <row r="88" s="4" customFormat="1" hidden="1" x14ac:dyDescent="0.25"/>
    <row r="89" s="4" customFormat="1" hidden="1" x14ac:dyDescent="0.25"/>
    <row r="90" s="4" customFormat="1" hidden="1" x14ac:dyDescent="0.25"/>
    <row r="91" s="4" customFormat="1" hidden="1" x14ac:dyDescent="0.25"/>
    <row r="92" s="4" customFormat="1" hidden="1" x14ac:dyDescent="0.25"/>
  </sheetData>
  <sheetProtection algorithmName="SHA-512" hashValue="Kq+4wnSgydep/tOzZ1ZySMApit8YTQZQ7yTpn8oQTNlJ56spg3mIWdJ7lRS6ogD3shk0YhheDT9A1duTDoEd3g==" saltValue="yf7diTdFI7EoCmJ0qB+kmA==" spinCount="100000" sheet="1" objects="1" scenarios="1"/>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Raw-Data</vt:lpstr>
      <vt:lpstr>Transposed-Data</vt:lpstr>
      <vt:lpstr>Shipments</vt:lpstr>
      <vt:lpstr>Shipments-YoY-Change</vt:lpstr>
      <vt:lpstr>Shipments-YoY-Change-Pivot</vt:lpstr>
      <vt:lpstr>Market-Share</vt:lpstr>
      <vt:lpstr>Market-Share-Pivot</vt:lpstr>
      <vt:lpstr>Shipments-Pivot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Arren Gavriel</dc:creator>
  <cp:lastModifiedBy>Arren Gavriel</cp:lastModifiedBy>
  <dcterms:created xsi:type="dcterms:W3CDTF">2015-06-05T18:17:20Z</dcterms:created>
  <dcterms:modified xsi:type="dcterms:W3CDTF">2023-10-29T14:57:30Z</dcterms:modified>
</cp:coreProperties>
</file>